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732" windowWidth="22980" windowHeight="8868" firstSheet="1" activeTab="8"/>
  </bookViews>
  <sheets>
    <sheet name="formdata" sheetId="4" state="hidden" r:id="rId1"/>
    <sheet name="MONDAY" sheetId="1" r:id="rId2"/>
    <sheet name="TUESDAY" sheetId="8" r:id="rId3"/>
    <sheet name="WEDNESDAY" sheetId="10" r:id="rId4"/>
    <sheet name="THURSDAY" sheetId="11" r:id="rId5"/>
    <sheet name="FRIDAY" sheetId="12" r:id="rId6"/>
    <sheet name="SATURDAY" sheetId="13" r:id="rId7"/>
    <sheet name="SUNDAY" sheetId="14" r:id="rId8"/>
    <sheet name="WEEK SUMMARY" sheetId="15" r:id="rId9"/>
  </sheets>
  <definedNames>
    <definedName name="ALL_Customers">formdata!$N$114:$N$168</definedName>
    <definedName name="ALL_Interactions">formdata!$P$86:$P$110</definedName>
    <definedName name="Architecture">formdata!$D$86:$D$92</definedName>
    <definedName name="Blanks">formdata!$B$2</definedName>
    <definedName name="Client">formdata!$D$77:$D$79</definedName>
    <definedName name="Conference">formdata!$F$77:$F$79</definedName>
    <definedName name="Customer">formdata!$B$114:$B$120</definedName>
    <definedName name="DOW">formdata!$B$14:$B$20</definedName>
    <definedName name="Enablement">formdata!$F$86:$F$89</definedName>
    <definedName name="Engagement">formdata!$H$86:$H$88</definedName>
    <definedName name="Environment">formdata!$F$32:$F$38</definedName>
    <definedName name="Housekeeping">formdata!$D$32:$D$41</definedName>
    <definedName name="Interaction">formdata!$B$86:$B$92</definedName>
    <definedName name="Internal">formdata!$B$32:$B$37</definedName>
    <definedName name="Meetings">formdata!$H$32:$H$42</definedName>
    <definedName name="Names">formdata!$B$6:$B$10</definedName>
    <definedName name="Office">formdata!$J$32:$J$35</definedName>
    <definedName name="OfficeLocations">formdata!$H$77:$H$82</definedName>
    <definedName name="ORTS">formdata!$L$86:$L$89</definedName>
    <definedName name="Other">formdata!$L$114:$L$116</definedName>
    <definedName name="Partner">formdata!$P$114:$P$117</definedName>
    <definedName name="Primary">formdata!$B$97:$B$108</definedName>
    <definedName name="Product">formdata!$J$86:$J$93</definedName>
    <definedName name="Publications">formdata!$L$32:$L$38</definedName>
    <definedName name="Support">formdata!$N$86:$N$89</definedName>
    <definedName name="Talend">formdata!$D$46:$D$63</definedName>
    <definedName name="Tier1">formdata!$F$114:$F$138</definedName>
    <definedName name="Tier2">formdata!$H$114:$H$124</definedName>
    <definedName name="Tier3">formdata!$J$114:$J$126</definedName>
    <definedName name="Training">formdata!$B$46:$B$48</definedName>
    <definedName name="Travel">formdata!$B$77:$B$80</definedName>
    <definedName name="Utilizations">formdata!$B$24:$B$28</definedName>
    <definedName name="Vendor">formdata!$F$46:$F$73</definedName>
    <definedName name="WhiteGlove">formdata!$D$114:$D$117</definedName>
  </definedNames>
  <calcPr calcId="145621"/>
</workbook>
</file>

<file path=xl/calcChain.xml><?xml version="1.0" encoding="utf-8"?>
<calcChain xmlns="http://schemas.openxmlformats.org/spreadsheetml/2006/main">
  <c r="G142" i="14" l="1"/>
  <c r="G141" i="14"/>
  <c r="G140" i="14"/>
  <c r="G139" i="14"/>
  <c r="G138" i="14"/>
  <c r="G137" i="14"/>
  <c r="G136" i="14"/>
  <c r="G135" i="14"/>
  <c r="G134" i="14"/>
  <c r="G133" i="14"/>
  <c r="G132" i="14"/>
  <c r="G131" i="14"/>
  <c r="G130" i="14"/>
  <c r="G129" i="14"/>
  <c r="G128" i="14"/>
  <c r="G127" i="14"/>
  <c r="G126" i="14"/>
  <c r="G125" i="14"/>
  <c r="G124" i="14"/>
  <c r="G123" i="14"/>
  <c r="G122" i="14"/>
  <c r="G121" i="14"/>
  <c r="G120" i="14"/>
  <c r="G119" i="14"/>
  <c r="G118" i="14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142" i="13"/>
  <c r="G141" i="13"/>
  <c r="G140" i="13"/>
  <c r="G139" i="13"/>
  <c r="G138" i="13"/>
  <c r="G137" i="13"/>
  <c r="G136" i="13"/>
  <c r="G135" i="13"/>
  <c r="G134" i="13"/>
  <c r="G133" i="13"/>
  <c r="G132" i="13"/>
  <c r="G131" i="13"/>
  <c r="G130" i="13"/>
  <c r="G129" i="13"/>
  <c r="G128" i="13"/>
  <c r="G127" i="13"/>
  <c r="G126" i="13"/>
  <c r="G125" i="13"/>
  <c r="G124" i="13"/>
  <c r="G123" i="13"/>
  <c r="G122" i="13"/>
  <c r="G121" i="13"/>
  <c r="G120" i="13"/>
  <c r="G119" i="13"/>
  <c r="G118" i="13"/>
  <c r="G117" i="13"/>
  <c r="G116" i="13"/>
  <c r="G115" i="13"/>
  <c r="G114" i="13"/>
  <c r="G113" i="13"/>
  <c r="G112" i="13"/>
  <c r="G111" i="13"/>
  <c r="G110" i="13"/>
  <c r="G109" i="13"/>
  <c r="G108" i="13"/>
  <c r="G107" i="13"/>
  <c r="G106" i="13"/>
  <c r="G105" i="13"/>
  <c r="G104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5" i="12"/>
  <c r="G94" i="12"/>
  <c r="G93" i="12"/>
  <c r="G92" i="12"/>
  <c r="G91" i="12"/>
  <c r="G90" i="12"/>
  <c r="G89" i="12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142" i="8"/>
  <c r="G141" i="8"/>
  <c r="G140" i="8"/>
  <c r="G139" i="8"/>
  <c r="G138" i="8"/>
  <c r="G137" i="8"/>
  <c r="G136" i="8"/>
  <c r="G135" i="8"/>
  <c r="G134" i="8"/>
  <c r="G133" i="8"/>
  <c r="G132" i="8"/>
  <c r="G131" i="8"/>
  <c r="G130" i="8"/>
  <c r="G129" i="8"/>
  <c r="G128" i="8"/>
  <c r="G127" i="8"/>
  <c r="G126" i="8"/>
  <c r="G125" i="8"/>
  <c r="G124" i="8"/>
  <c r="G123" i="8"/>
  <c r="G122" i="8"/>
  <c r="G121" i="8"/>
  <c r="G120" i="8"/>
  <c r="G119" i="8"/>
  <c r="G118" i="8"/>
  <c r="G117" i="8"/>
  <c r="G116" i="8"/>
  <c r="G115" i="8"/>
  <c r="G114" i="8"/>
  <c r="G113" i="8"/>
  <c r="G112" i="8"/>
  <c r="G111" i="8"/>
  <c r="G110" i="8"/>
  <c r="G109" i="8"/>
  <c r="G108" i="8"/>
  <c r="G107" i="8"/>
  <c r="G106" i="8"/>
  <c r="G105" i="8"/>
  <c r="G104" i="8"/>
  <c r="G103" i="8"/>
  <c r="G102" i="8"/>
  <c r="G101" i="8"/>
  <c r="G100" i="8"/>
  <c r="G99" i="8"/>
  <c r="G98" i="8"/>
  <c r="G97" i="8"/>
  <c r="G96" i="8"/>
  <c r="G95" i="8"/>
  <c r="G94" i="8"/>
  <c r="G93" i="8"/>
  <c r="G92" i="8"/>
  <c r="G91" i="8"/>
  <c r="G90" i="8"/>
  <c r="G89" i="8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20" i="15" l="1"/>
  <c r="G136" i="15"/>
  <c r="G135" i="15"/>
  <c r="G103" i="15"/>
  <c r="G127" i="15"/>
  <c r="G104" i="15"/>
  <c r="G95" i="15"/>
  <c r="G142" i="15"/>
  <c r="G119" i="15"/>
  <c r="G134" i="15"/>
  <c r="G131" i="15"/>
  <c r="G99" i="15"/>
  <c r="G139" i="15"/>
  <c r="G107" i="15"/>
  <c r="G115" i="15"/>
  <c r="G126" i="15"/>
  <c r="G123" i="15"/>
  <c r="G91" i="15"/>
  <c r="G118" i="15"/>
  <c r="G110" i="15"/>
  <c r="G111" i="15"/>
  <c r="G141" i="15"/>
  <c r="G133" i="15"/>
  <c r="G125" i="15"/>
  <c r="G117" i="15"/>
  <c r="G109" i="15"/>
  <c r="G101" i="15"/>
  <c r="G93" i="15"/>
  <c r="G96" i="15"/>
  <c r="G112" i="15"/>
  <c r="G128" i="15"/>
  <c r="G102" i="15"/>
  <c r="G94" i="15"/>
  <c r="G140" i="15"/>
  <c r="G132" i="15"/>
  <c r="G124" i="15"/>
  <c r="G116" i="15"/>
  <c r="G108" i="15"/>
  <c r="G100" i="15"/>
  <c r="G92" i="15"/>
  <c r="G122" i="15"/>
  <c r="G98" i="15"/>
  <c r="G138" i="15"/>
  <c r="G130" i="15"/>
  <c r="G114" i="15"/>
  <c r="G106" i="15"/>
  <c r="G90" i="15"/>
  <c r="G137" i="15"/>
  <c r="G129" i="15"/>
  <c r="G121" i="15"/>
  <c r="G113" i="15"/>
  <c r="G105" i="15"/>
  <c r="G97" i="15"/>
  <c r="G67" i="14"/>
  <c r="G67" i="13"/>
  <c r="G67" i="12"/>
  <c r="G67" i="11"/>
  <c r="G67" i="10"/>
  <c r="G67" i="8"/>
  <c r="G67" i="1"/>
  <c r="G67" i="15" l="1"/>
  <c r="D60" i="14" l="1"/>
  <c r="D59" i="14"/>
  <c r="D58" i="14"/>
  <c r="D57" i="14"/>
  <c r="D60" i="13"/>
  <c r="D59" i="13"/>
  <c r="D58" i="13"/>
  <c r="D57" i="13"/>
  <c r="D60" i="12"/>
  <c r="D59" i="12"/>
  <c r="D58" i="12"/>
  <c r="D57" i="12"/>
  <c r="D60" i="11"/>
  <c r="D59" i="11"/>
  <c r="D58" i="11"/>
  <c r="D57" i="11"/>
  <c r="D60" i="10"/>
  <c r="D59" i="10"/>
  <c r="D58" i="10"/>
  <c r="D57" i="10"/>
  <c r="D60" i="8"/>
  <c r="D59" i="8"/>
  <c r="D58" i="8"/>
  <c r="D57" i="8"/>
  <c r="D60" i="1"/>
  <c r="D59" i="1"/>
  <c r="D58" i="1"/>
  <c r="G89" i="15" l="1"/>
  <c r="G86" i="14" l="1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6" i="14"/>
  <c r="G65" i="14"/>
  <c r="G64" i="14"/>
  <c r="G63" i="14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6" i="13"/>
  <c r="G65" i="13"/>
  <c r="G64" i="13"/>
  <c r="G63" i="13"/>
  <c r="G86" i="12"/>
  <c r="G85" i="12"/>
  <c r="G84" i="12"/>
  <c r="G83" i="12"/>
  <c r="G82" i="12"/>
  <c r="G81" i="12"/>
  <c r="G80" i="12"/>
  <c r="G79" i="12"/>
  <c r="G78" i="12"/>
  <c r="G77" i="12"/>
  <c r="G76" i="12"/>
  <c r="G75" i="12"/>
  <c r="G74" i="12"/>
  <c r="G73" i="12"/>
  <c r="G72" i="12"/>
  <c r="G71" i="12"/>
  <c r="G70" i="12"/>
  <c r="G69" i="12"/>
  <c r="G68" i="12"/>
  <c r="G66" i="12"/>
  <c r="G65" i="12"/>
  <c r="G64" i="12"/>
  <c r="G63" i="12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6" i="11"/>
  <c r="G65" i="11"/>
  <c r="G64" i="11"/>
  <c r="G63" i="11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6" i="10"/>
  <c r="G65" i="10"/>
  <c r="G64" i="10"/>
  <c r="G63" i="10"/>
  <c r="G86" i="8"/>
  <c r="G85" i="8"/>
  <c r="G84" i="8"/>
  <c r="G83" i="8"/>
  <c r="G82" i="8"/>
  <c r="G81" i="8"/>
  <c r="G80" i="8"/>
  <c r="G79" i="8"/>
  <c r="G78" i="8"/>
  <c r="G77" i="8"/>
  <c r="G76" i="8"/>
  <c r="G75" i="8"/>
  <c r="G74" i="8"/>
  <c r="G73" i="8"/>
  <c r="G72" i="8"/>
  <c r="G71" i="8"/>
  <c r="G70" i="8"/>
  <c r="G69" i="8"/>
  <c r="G68" i="8"/>
  <c r="G66" i="8"/>
  <c r="G65" i="8"/>
  <c r="G64" i="8"/>
  <c r="G63" i="8"/>
  <c r="G63" i="1"/>
  <c r="G64" i="1"/>
  <c r="G65" i="1"/>
  <c r="G66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D57" i="1"/>
  <c r="D6" i="15"/>
  <c r="D7" i="15" s="1"/>
  <c r="D6" i="14"/>
  <c r="G6" i="14" s="1"/>
  <c r="D54" i="14"/>
  <c r="D53" i="14"/>
  <c r="D52" i="14"/>
  <c r="D51" i="14"/>
  <c r="D50" i="14"/>
  <c r="D49" i="14"/>
  <c r="D48" i="14"/>
  <c r="D47" i="14"/>
  <c r="D8" i="14"/>
  <c r="V9" i="15" s="1"/>
  <c r="D6" i="13"/>
  <c r="G6" i="13" s="1"/>
  <c r="D54" i="13"/>
  <c r="D53" i="13"/>
  <c r="D52" i="13"/>
  <c r="D51" i="13"/>
  <c r="D50" i="13"/>
  <c r="D49" i="13"/>
  <c r="D48" i="13"/>
  <c r="D47" i="13"/>
  <c r="D8" i="13"/>
  <c r="S9" i="15" s="1"/>
  <c r="D6" i="12"/>
  <c r="G6" i="12" s="1"/>
  <c r="D54" i="12"/>
  <c r="D53" i="12"/>
  <c r="D52" i="12"/>
  <c r="D51" i="12"/>
  <c r="D50" i="12"/>
  <c r="D49" i="12"/>
  <c r="D48" i="12"/>
  <c r="D47" i="12"/>
  <c r="D8" i="12"/>
  <c r="P9" i="15" s="1"/>
  <c r="D6" i="11"/>
  <c r="G6" i="11" s="1"/>
  <c r="D54" i="11"/>
  <c r="D53" i="11"/>
  <c r="D52" i="11"/>
  <c r="D51" i="11"/>
  <c r="D50" i="11"/>
  <c r="D49" i="11"/>
  <c r="D48" i="11"/>
  <c r="D47" i="11"/>
  <c r="D8" i="11"/>
  <c r="M9" i="15" s="1"/>
  <c r="D6" i="10"/>
  <c r="J6" i="15" s="1"/>
  <c r="J7" i="15" s="1"/>
  <c r="D54" i="10"/>
  <c r="D53" i="10"/>
  <c r="D52" i="10"/>
  <c r="D51" i="10"/>
  <c r="D50" i="10"/>
  <c r="D49" i="10"/>
  <c r="D48" i="10"/>
  <c r="D47" i="10"/>
  <c r="D8" i="10"/>
  <c r="J9" i="15" s="1"/>
  <c r="D6" i="8"/>
  <c r="G6" i="8" s="1"/>
  <c r="D54" i="8"/>
  <c r="D53" i="8"/>
  <c r="D52" i="8"/>
  <c r="D51" i="8"/>
  <c r="D50" i="8"/>
  <c r="D49" i="8"/>
  <c r="D48" i="8"/>
  <c r="D47" i="8"/>
  <c r="D8" i="8"/>
  <c r="G9" i="15" s="1"/>
  <c r="G66" i="15" l="1"/>
  <c r="S6" i="15"/>
  <c r="S7" i="15" s="1"/>
  <c r="G6" i="10"/>
  <c r="V6" i="15"/>
  <c r="V7" i="15" s="1"/>
  <c r="G6" i="15"/>
  <c r="G7" i="15" s="1"/>
  <c r="M6" i="15"/>
  <c r="M7" i="15" s="1"/>
  <c r="P6" i="15"/>
  <c r="P7" i="15" s="1"/>
  <c r="G84" i="15"/>
  <c r="G76" i="15"/>
  <c r="G68" i="15"/>
  <c r="D57" i="15"/>
  <c r="G86" i="15"/>
  <c r="G78" i="15"/>
  <c r="G70" i="15"/>
  <c r="G85" i="15"/>
  <c r="G77" i="15"/>
  <c r="G69" i="15"/>
  <c r="G79" i="15"/>
  <c r="G71" i="15"/>
  <c r="G75" i="15"/>
  <c r="G64" i="15"/>
  <c r="G83" i="15"/>
  <c r="G82" i="15"/>
  <c r="G74" i="15"/>
  <c r="G65" i="15"/>
  <c r="G81" i="15"/>
  <c r="G73" i="15"/>
  <c r="G80" i="15"/>
  <c r="G72" i="15"/>
  <c r="G63" i="15"/>
  <c r="D58" i="15"/>
  <c r="D59" i="15"/>
  <c r="D60" i="15"/>
  <c r="D47" i="1"/>
  <c r="D47" i="15" s="1"/>
  <c r="D48" i="1"/>
  <c r="D48" i="15" s="1"/>
  <c r="D49" i="1"/>
  <c r="D49" i="15" s="1"/>
  <c r="D50" i="1"/>
  <c r="D50" i="15" s="1"/>
  <c r="D51" i="1"/>
  <c r="D51" i="15" s="1"/>
  <c r="D52" i="1"/>
  <c r="D52" i="15" s="1"/>
  <c r="D53" i="1"/>
  <c r="D53" i="15" s="1"/>
  <c r="D54" i="1"/>
  <c r="D54" i="15" s="1"/>
  <c r="D8" i="1" l="1"/>
  <c r="D9" i="15" s="1"/>
  <c r="Y9" i="15" s="1"/>
  <c r="G6" i="1"/>
</calcChain>
</file>

<file path=xl/sharedStrings.xml><?xml version="1.0" encoding="utf-8"?>
<sst xmlns="http://schemas.openxmlformats.org/spreadsheetml/2006/main" count="1283" uniqueCount="342">
  <si>
    <t>NAME:</t>
  </si>
  <si>
    <t>Dale Anderson</t>
  </si>
  <si>
    <t>Irshad Burtally</t>
  </si>
  <si>
    <t>DATE:</t>
  </si>
  <si>
    <t>Log Entry</t>
  </si>
  <si>
    <t>Utilization</t>
  </si>
  <si>
    <t>Internal</t>
  </si>
  <si>
    <t>Customer</t>
  </si>
  <si>
    <t>Travel</t>
  </si>
  <si>
    <t>Training</t>
  </si>
  <si>
    <t>Category</t>
  </si>
  <si>
    <t xml:space="preserve">Customer </t>
  </si>
  <si>
    <t>Hours</t>
  </si>
  <si>
    <t>Names</t>
  </si>
  <si>
    <t>Utilizations</t>
  </si>
  <si>
    <t>Customer Types</t>
  </si>
  <si>
    <t>Internal Types</t>
  </si>
  <si>
    <t>Housekeeping</t>
  </si>
  <si>
    <t>Environment</t>
  </si>
  <si>
    <t>Meetings</t>
  </si>
  <si>
    <t>Office</t>
  </si>
  <si>
    <t>Publications</t>
  </si>
  <si>
    <t>Training Types</t>
  </si>
  <si>
    <t>Product</t>
  </si>
  <si>
    <t>Engagement</t>
  </si>
  <si>
    <t>Enablement</t>
  </si>
  <si>
    <t>Travel Types</t>
  </si>
  <si>
    <t>TOTAL HOURS:</t>
  </si>
  <si>
    <t>Interaction</t>
  </si>
  <si>
    <t>Sub Type</t>
  </si>
  <si>
    <t>Lenovo</t>
  </si>
  <si>
    <t>WhiteGlove</t>
  </si>
  <si>
    <t>Tier1</t>
  </si>
  <si>
    <t>Tier2</t>
  </si>
  <si>
    <t>Tier3</t>
  </si>
  <si>
    <t>Other</t>
  </si>
  <si>
    <t>White Glove Customers</t>
  </si>
  <si>
    <t>Tier1 Customers</t>
  </si>
  <si>
    <t>Axalta</t>
  </si>
  <si>
    <t>American Express</t>
  </si>
  <si>
    <t>Bank of America</t>
  </si>
  <si>
    <t>Century Link</t>
  </si>
  <si>
    <t>Citibank</t>
  </si>
  <si>
    <t>GE Company</t>
  </si>
  <si>
    <t>GE Corporate</t>
  </si>
  <si>
    <t>GE Healthcare</t>
  </si>
  <si>
    <t>HomeAway</t>
  </si>
  <si>
    <t>Home Depot</t>
  </si>
  <si>
    <t>HomeServe</t>
  </si>
  <si>
    <t>Oxfordshire County Council</t>
  </si>
  <si>
    <t>PRGX</t>
  </si>
  <si>
    <t>Travelex</t>
  </si>
  <si>
    <t>Travis Perkins</t>
  </si>
  <si>
    <t>TrueCar</t>
  </si>
  <si>
    <t>VISA</t>
  </si>
  <si>
    <t>Vubiquity</t>
  </si>
  <si>
    <t>Wallmart</t>
  </si>
  <si>
    <t>Tier2 Customers</t>
  </si>
  <si>
    <t>Capital One</t>
  </si>
  <si>
    <t>HomeOffice</t>
  </si>
  <si>
    <t>SPP</t>
  </si>
  <si>
    <t>Wellington Management</t>
  </si>
  <si>
    <t>Hess</t>
  </si>
  <si>
    <t>Tier3 Customers</t>
  </si>
  <si>
    <t>DSTV</t>
  </si>
  <si>
    <t>Emesa</t>
  </si>
  <si>
    <t>Internet Solutions</t>
  </si>
  <si>
    <t>Manitoba Lotteries</t>
  </si>
  <si>
    <t>Northrup Grumman</t>
  </si>
  <si>
    <t>Save the Children</t>
  </si>
  <si>
    <t>Sherwin-Williams</t>
  </si>
  <si>
    <t>VGT</t>
  </si>
  <si>
    <t>Other Customers</t>
  </si>
  <si>
    <t>Caxton</t>
  </si>
  <si>
    <t>RSI</t>
  </si>
  <si>
    <t>Teladoc</t>
  </si>
  <si>
    <t>Tesch Global</t>
  </si>
  <si>
    <t>VSP</t>
  </si>
  <si>
    <t>Vendor</t>
  </si>
  <si>
    <t>Housekeeping SubTypes</t>
  </si>
  <si>
    <t>Email Review/Followup</t>
  </si>
  <si>
    <t>Help Desk</t>
  </si>
  <si>
    <t>Holiday</t>
  </si>
  <si>
    <t>PTO</t>
  </si>
  <si>
    <t>Days of Week</t>
  </si>
  <si>
    <t>Monday</t>
  </si>
  <si>
    <t>Tuesday</t>
  </si>
  <si>
    <t>Wednesday</t>
  </si>
  <si>
    <t>Thursday</t>
  </si>
  <si>
    <t>Friday</t>
  </si>
  <si>
    <t>Saturday</t>
  </si>
  <si>
    <t>Sunday</t>
  </si>
  <si>
    <t>Description</t>
  </si>
  <si>
    <t>Blank</t>
  </si>
  <si>
    <t>Environment SubTypes</t>
  </si>
  <si>
    <t>Laptops</t>
  </si>
  <si>
    <t>Desktops</t>
  </si>
  <si>
    <t>Servers</t>
  </si>
  <si>
    <t>Smart Phones</t>
  </si>
  <si>
    <t>Tablets</t>
  </si>
  <si>
    <t>VMs</t>
  </si>
  <si>
    <t>Meetings SubTypes</t>
  </si>
  <si>
    <t>CDIO</t>
  </si>
  <si>
    <t>Hell Week</t>
  </si>
  <si>
    <t>Onboarding</t>
  </si>
  <si>
    <t>Planning</t>
  </si>
  <si>
    <t>SKO</t>
  </si>
  <si>
    <t>Status</t>
  </si>
  <si>
    <t>Topical</t>
  </si>
  <si>
    <t>Town Hall</t>
  </si>
  <si>
    <t>Office SubTypes</t>
  </si>
  <si>
    <t>Project Management</t>
  </si>
  <si>
    <t>Project Support</t>
  </si>
  <si>
    <t>Team Asisst</t>
  </si>
  <si>
    <t>Publications SubTypes</t>
  </si>
  <si>
    <t>Blogs</t>
  </si>
  <si>
    <t>Diagrams</t>
  </si>
  <si>
    <t>KB Articles</t>
  </si>
  <si>
    <t>Presentation</t>
  </si>
  <si>
    <t>Wiki</t>
  </si>
  <si>
    <t>Product SubTypes</t>
  </si>
  <si>
    <t>Artifact Repository</t>
  </si>
  <si>
    <t>Big Data</t>
  </si>
  <si>
    <t>Components</t>
  </si>
  <si>
    <t>Integration Cloud</t>
  </si>
  <si>
    <t>Integration Actions</t>
  </si>
  <si>
    <t>Job Server</t>
  </si>
  <si>
    <t>MDM</t>
  </si>
  <si>
    <t>Log Server</t>
  </si>
  <si>
    <t>Studio</t>
  </si>
  <si>
    <t>SVN</t>
  </si>
  <si>
    <t>TAC</t>
  </si>
  <si>
    <t>Vendor SubTypes</t>
  </si>
  <si>
    <t>AWS</t>
  </si>
  <si>
    <t>Azure</t>
  </si>
  <si>
    <t>Cloudera (Hadoop)</t>
  </si>
  <si>
    <t>Cloudera (HBase)</t>
  </si>
  <si>
    <t>Cloudera (HDFS)</t>
  </si>
  <si>
    <t>Cloudera (Hive)</t>
  </si>
  <si>
    <t>Data Vault</t>
  </si>
  <si>
    <t>EDW</t>
  </si>
  <si>
    <t>Business Intelligence</t>
  </si>
  <si>
    <t>ETL/ELT</t>
  </si>
  <si>
    <t>Hortonworks (Hadoop)</t>
  </si>
  <si>
    <t>Hortonworks (HBase)</t>
  </si>
  <si>
    <t>Hortonworks (HDFS)</t>
  </si>
  <si>
    <t>Hortonworks (Hive)</t>
  </si>
  <si>
    <t>InfoBright</t>
  </si>
  <si>
    <t>MS SQL Server</t>
  </si>
  <si>
    <t>MySQL</t>
  </si>
  <si>
    <t>NoSQL</t>
  </si>
  <si>
    <t>Oracle</t>
  </si>
  <si>
    <t>Postgress</t>
  </si>
  <si>
    <t>Star Schema</t>
  </si>
  <si>
    <t>MapR (Hadoop)</t>
  </si>
  <si>
    <t>MapR (HBase)</t>
  </si>
  <si>
    <t>MapR (HDFS)</t>
  </si>
  <si>
    <t>MapR (Hive)</t>
  </si>
  <si>
    <t>Redshift</t>
  </si>
  <si>
    <t>Vertica</t>
  </si>
  <si>
    <t>Data Quality</t>
  </si>
  <si>
    <t>Data Integration</t>
  </si>
  <si>
    <t>ESB</t>
  </si>
  <si>
    <t>Interaction Types</t>
  </si>
  <si>
    <t>Architecture</t>
  </si>
  <si>
    <t>ORTS</t>
  </si>
  <si>
    <t>Talend</t>
  </si>
  <si>
    <t>Talend SubTypes</t>
  </si>
  <si>
    <t>Client</t>
  </si>
  <si>
    <t>Conference</t>
  </si>
  <si>
    <t>Onsite</t>
  </si>
  <si>
    <t>Offsite</t>
  </si>
  <si>
    <t>Client Travel SubTypes</t>
  </si>
  <si>
    <t>Conference Travel SubTypes</t>
  </si>
  <si>
    <t>Bonn</t>
  </si>
  <si>
    <t>Maidenhead</t>
  </si>
  <si>
    <t>Paris</t>
  </si>
  <si>
    <t>Redwood Shores</t>
  </si>
  <si>
    <t>Office Location Travel Sub Types</t>
  </si>
  <si>
    <t>OfficeLocations</t>
  </si>
  <si>
    <t>Architecture SubTypes</t>
  </si>
  <si>
    <t>How-To's</t>
  </si>
  <si>
    <t>When-To's</t>
  </si>
  <si>
    <t>Where-Are's</t>
  </si>
  <si>
    <t>Analysis</t>
  </si>
  <si>
    <t>Best Practice</t>
  </si>
  <si>
    <t>Review</t>
  </si>
  <si>
    <t>Customer Health</t>
  </si>
  <si>
    <t>Kick-Off</t>
  </si>
  <si>
    <t>ORTS SubTypes</t>
  </si>
  <si>
    <t>Global Help Queue</t>
  </si>
  <si>
    <t>Ticket Review</t>
  </si>
  <si>
    <t>Ticket Followup</t>
  </si>
  <si>
    <t>Enablement SubTypes</t>
  </si>
  <si>
    <t>Engagement SubTypes</t>
  </si>
  <si>
    <t>Billable</t>
  </si>
  <si>
    <t>Non-Billable</t>
  </si>
  <si>
    <t>Feature Requests</t>
  </si>
  <si>
    <t>Patches</t>
  </si>
  <si>
    <t>Upgrades</t>
  </si>
  <si>
    <t>Demos</t>
  </si>
  <si>
    <t>CSA DAILY TIME LOG</t>
  </si>
  <si>
    <t>DI</t>
  </si>
  <si>
    <t>DQ</t>
  </si>
  <si>
    <t>BD</t>
  </si>
  <si>
    <t>Primary Product Types</t>
  </si>
  <si>
    <t>TDM</t>
  </si>
  <si>
    <t>TIC</t>
  </si>
  <si>
    <t>Cambia Health</t>
  </si>
  <si>
    <t>MDB</t>
  </si>
  <si>
    <t>CHART DATA</t>
  </si>
  <si>
    <t>Support</t>
  </si>
  <si>
    <t>Support SubTypes</t>
  </si>
  <si>
    <t>Product Installation</t>
  </si>
  <si>
    <t>Version Upgrade</t>
  </si>
  <si>
    <t>Project Migration</t>
  </si>
  <si>
    <t>Tools Development</t>
  </si>
  <si>
    <t>THIS WEEK:</t>
  </si>
  <si>
    <t>TOTAL</t>
  </si>
  <si>
    <t>CSA WEEKLY SUMMARY TIME LOG</t>
  </si>
  <si>
    <t>ALL Customers</t>
  </si>
  <si>
    <t>WhiteGlove:Lenovo</t>
  </si>
  <si>
    <t>Tier1:Axalta</t>
  </si>
  <si>
    <t>Tier1:American Express</t>
  </si>
  <si>
    <t>Tier1:Bank of America</t>
  </si>
  <si>
    <t>Tier1:Century Link</t>
  </si>
  <si>
    <t>Tier1:Citibank</t>
  </si>
  <si>
    <t>Tier1:GE Company</t>
  </si>
  <si>
    <t>Tier1:GE Corporate</t>
  </si>
  <si>
    <t>Tier1:GE Healthcare</t>
  </si>
  <si>
    <t>Tier1:HomeAway</t>
  </si>
  <si>
    <t>Tier1:Home Depot</t>
  </si>
  <si>
    <t>Tier1:HomeServe</t>
  </si>
  <si>
    <t>Tier1:PRGX</t>
  </si>
  <si>
    <t>Tier1:Travelex</t>
  </si>
  <si>
    <t>Tier1:Travis Perkins</t>
  </si>
  <si>
    <t>Tier1:TrueCar</t>
  </si>
  <si>
    <t>Tier1:VISA</t>
  </si>
  <si>
    <t>Tier1:Vubiquity</t>
  </si>
  <si>
    <t>Tier1:Wallmart</t>
  </si>
  <si>
    <t>Tier2:Capital One</t>
  </si>
  <si>
    <t>Tier2:HomeOffice</t>
  </si>
  <si>
    <t>Tier2:SPP</t>
  </si>
  <si>
    <t>Tier2:Wellington Management</t>
  </si>
  <si>
    <t>Tier2:Hess</t>
  </si>
  <si>
    <t>Tier3:DSTV</t>
  </si>
  <si>
    <t>Tier3:Emesa</t>
  </si>
  <si>
    <t>Tier3:Internet Solutions</t>
  </si>
  <si>
    <t>Tier3:Manitoba Lotteries</t>
  </si>
  <si>
    <t>Tier3:Northrup Grumman</t>
  </si>
  <si>
    <t>Tier3:Save the Children</t>
  </si>
  <si>
    <t>Tier3:Sherwin-Williams</t>
  </si>
  <si>
    <t>Tier3:VGT</t>
  </si>
  <si>
    <t>Architecture:Analysis</t>
  </si>
  <si>
    <t>Architecture:Best Practice</t>
  </si>
  <si>
    <t>Architecture:How-To's</t>
  </si>
  <si>
    <t>Architecture:Review</t>
  </si>
  <si>
    <t>Architecture:When-To's</t>
  </si>
  <si>
    <t>Enablement:Customer Health</t>
  </si>
  <si>
    <t>Enablement:Onboarding</t>
  </si>
  <si>
    <t>Enablement:Kick-Off</t>
  </si>
  <si>
    <t>Engagement:Billable</t>
  </si>
  <si>
    <t>Engagement:Non-Billable</t>
  </si>
  <si>
    <t>Product:Best Practice</t>
  </si>
  <si>
    <t>Product:Demos</t>
  </si>
  <si>
    <t>Product:Feature Requests</t>
  </si>
  <si>
    <t>Product:How-To's</t>
  </si>
  <si>
    <t>Product:Patches</t>
  </si>
  <si>
    <t>Product:Upgrades</t>
  </si>
  <si>
    <t>Product:Where-Are's</t>
  </si>
  <si>
    <t>ORTS:Global Help Queue</t>
  </si>
  <si>
    <t>ORTS:Ticket Followup</t>
  </si>
  <si>
    <t>ORTS:Ticket Review</t>
  </si>
  <si>
    <t>Support:Product Installation</t>
  </si>
  <si>
    <t>Support:Project Migration</t>
  </si>
  <si>
    <t>Support:Version Upgrade</t>
  </si>
  <si>
    <t>ALL Interactions</t>
  </si>
  <si>
    <t>Reporting</t>
  </si>
  <si>
    <t>BPM</t>
  </si>
  <si>
    <t>Research</t>
  </si>
  <si>
    <t>Lincoln  Financial</t>
  </si>
  <si>
    <t>WhiteGlove:Lincoln  Financial</t>
  </si>
  <si>
    <t>Partner:RSI</t>
  </si>
  <si>
    <t>Partner:Tesch Global</t>
  </si>
  <si>
    <t>Partner</t>
  </si>
  <si>
    <t/>
  </si>
  <si>
    <t>Tier1:Oxfordshire County Council</t>
  </si>
  <si>
    <t>Channel Eyes</t>
  </si>
  <si>
    <t>Tier3:Channel Eyes</t>
  </si>
  <si>
    <t>Tractor Supply</t>
  </si>
  <si>
    <t>GE</t>
  </si>
  <si>
    <t>WhiteGlove:GE</t>
  </si>
  <si>
    <t>Tier1:Tractor Supply</t>
  </si>
  <si>
    <t>Add This Customer</t>
  </si>
  <si>
    <t>Other:Add This Customer</t>
  </si>
  <si>
    <t>MIMB</t>
  </si>
  <si>
    <t>Irvine</t>
  </si>
  <si>
    <t>Architecture:Research</t>
  </si>
  <si>
    <t>Yosef Ohayon</t>
  </si>
  <si>
    <t>NBC Universal</t>
  </si>
  <si>
    <t>Tier1:NBC Universal</t>
  </si>
  <si>
    <t>Best Practices</t>
  </si>
  <si>
    <t>HR</t>
  </si>
  <si>
    <t>Zeeshan Javeed</t>
  </si>
  <si>
    <t>Eastern Bank</t>
  </si>
  <si>
    <t>Tier2:Eastern Bank</t>
  </si>
  <si>
    <t>Dominos</t>
  </si>
  <si>
    <t>Tier1:Dominos</t>
  </si>
  <si>
    <t>Diplomat Pharmacy</t>
  </si>
  <si>
    <t>Tier1:Diplomat Pharmacy</t>
  </si>
  <si>
    <t>Prospect</t>
  </si>
  <si>
    <t>Tier2:VSP</t>
  </si>
  <si>
    <t>Tier3:Cambia Health</t>
  </si>
  <si>
    <t>Tier3:Caxton</t>
  </si>
  <si>
    <t>Tier3:Teladoc</t>
  </si>
  <si>
    <t>Other:Prospect</t>
  </si>
  <si>
    <t>Mayo Clinic</t>
  </si>
  <si>
    <t>Tier2:Mayo Clinic</t>
  </si>
  <si>
    <t>Rosetta</t>
  </si>
  <si>
    <t>Partner:Rosetta</t>
  </si>
  <si>
    <t>Autozone/Alldata</t>
  </si>
  <si>
    <t>Tier2:Autozone/Alldata</t>
  </si>
  <si>
    <t>Tier2:Staples</t>
  </si>
  <si>
    <t>Stapes</t>
  </si>
  <si>
    <t>DTN</t>
  </si>
  <si>
    <t>Tier1:DTN</t>
  </si>
  <si>
    <t>Technical Field Training 6.0 - MDM / DQ</t>
  </si>
  <si>
    <t>Completed Loyalty Team write up</t>
  </si>
  <si>
    <t>DisneyABC: job reviews &amp; recommendations</t>
  </si>
  <si>
    <t>DisneyABC: research on tOracleSP implementation</t>
  </si>
  <si>
    <t>Discusson on Code Generation process</t>
  </si>
  <si>
    <t>Spoke to Susan E. re: Data Vault &amp; Dan L</t>
  </si>
  <si>
    <t>Apollo: discussionon upgrade from v5.3.1</t>
  </si>
  <si>
    <t>DisneyABC: research on issues raised</t>
  </si>
  <si>
    <t>DisneyABC: investigated tELTHive components</t>
  </si>
  <si>
    <t>Follow up w/Arron H &amp; Maria P re: DisneyABC</t>
  </si>
  <si>
    <t>@HellWeek</t>
  </si>
  <si>
    <t>DisneyABC: research on processing Oracle Sprocs</t>
  </si>
  <si>
    <t>Internal review of VISA Loyalty next steps</t>
  </si>
  <si>
    <t>Unlocking the Value of your Data Assets with Talend 6</t>
  </si>
  <si>
    <t>Follow up email to customer on findings</t>
  </si>
  <si>
    <t>Download/Install v6.1.0 BETA for Hellweek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</si>
</sst>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i/>
      <sz val="12"/>
      <color rgb="FF00206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rgb="FF000000"/>
      <name val="Arial Unicode MS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0" fillId="0" borderId="0" xfId="0" applyProtection="1">
      <protection locked="0"/>
    </xf>
    <xf numFmtId="0" fontId="2" fillId="6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3" fillId="0" borderId="0" xfId="0" applyFont="1" applyAlignment="1" applyProtection="1">
      <alignment horizontal="right"/>
      <protection locked="0"/>
    </xf>
    <xf numFmtId="0" fontId="2" fillId="0" borderId="0" xfId="0" applyFont="1" applyBorder="1" applyProtection="1">
      <protection locked="0"/>
    </xf>
    <xf numFmtId="0" fontId="0" fillId="4" borderId="0" xfId="0" applyFill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8" fillId="7" borderId="0" xfId="0" applyFont="1" applyFill="1" applyAlignment="1" applyProtection="1">
      <alignment horizontal="center"/>
    </xf>
    <xf numFmtId="0" fontId="0" fillId="0" borderId="0" xfId="0" applyAlignment="1" applyProtection="1">
      <alignment vertical="center"/>
      <protection locked="0"/>
    </xf>
    <xf numFmtId="0" fontId="6" fillId="6" borderId="0" xfId="0" applyFont="1" applyFill="1" applyBorder="1" applyProtection="1">
      <protection locked="0"/>
    </xf>
    <xf numFmtId="4" fontId="7" fillId="7" borderId="1" xfId="0" applyNumberFormat="1" applyFont="1" applyFill="1" applyBorder="1" applyProtection="1"/>
    <xf numFmtId="14" fontId="3" fillId="3" borderId="2" xfId="0" applyNumberFormat="1" applyFont="1" applyFill="1" applyBorder="1" applyProtection="1">
      <protection locked="0"/>
    </xf>
    <xf numFmtId="0" fontId="1" fillId="0" borderId="0" xfId="0" applyFont="1" applyFill="1" applyAlignment="1">
      <alignment horizontal="right"/>
    </xf>
    <xf numFmtId="0" fontId="10" fillId="8" borderId="0" xfId="0" applyFont="1" applyFill="1" applyProtection="1">
      <protection locked="0"/>
    </xf>
    <xf numFmtId="14" fontId="3" fillId="3" borderId="2" xfId="0" applyNumberFormat="1" applyFont="1" applyFill="1" applyBorder="1" applyProtection="1"/>
    <xf numFmtId="0" fontId="12" fillId="0" borderId="0" xfId="0" applyFont="1" applyProtection="1">
      <protection locked="0"/>
    </xf>
    <xf numFmtId="0" fontId="14" fillId="0" borderId="0" xfId="0" applyFont="1" applyAlignment="1" applyProtection="1">
      <alignment horizontal="right"/>
      <protection locked="0"/>
    </xf>
    <xf numFmtId="14" fontId="14" fillId="3" borderId="2" xfId="0" applyNumberFormat="1" applyFont="1" applyFill="1" applyBorder="1" applyAlignment="1" applyProtection="1">
      <alignment horizontal="center" vertical="center"/>
    </xf>
    <xf numFmtId="4" fontId="13" fillId="7" borderId="1" xfId="0" applyNumberFormat="1" applyFont="1" applyFill="1" applyBorder="1" applyProtection="1"/>
    <xf numFmtId="0" fontId="7" fillId="7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vertical="center"/>
      <protection locked="0"/>
    </xf>
    <xf numFmtId="0" fontId="1" fillId="5" borderId="0" xfId="0" applyFont="1" applyFill="1" applyProtection="1">
      <protection locked="0"/>
    </xf>
    <xf numFmtId="0" fontId="15" fillId="0" borderId="0" xfId="0" applyFont="1" applyFill="1" applyAlignment="1">
      <alignment horizontal="right"/>
    </xf>
    <xf numFmtId="4" fontId="16" fillId="0" borderId="0" xfId="0" applyNumberFormat="1" applyFont="1" applyAlignment="1" applyProtection="1">
      <alignment vertical="center"/>
      <protection locked="0"/>
    </xf>
    <xf numFmtId="0" fontId="16" fillId="5" borderId="0" xfId="0" applyFont="1" applyFill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0" fontId="17" fillId="0" borderId="7" xfId="0" applyFont="1" applyFill="1" applyBorder="1" applyAlignment="1">
      <alignment horizontal="right"/>
    </xf>
    <xf numFmtId="0" fontId="17" fillId="0" borderId="0" xfId="0" applyFont="1" applyFill="1" applyBorder="1" applyAlignment="1">
      <alignment horizontal="right"/>
    </xf>
    <xf numFmtId="0" fontId="17" fillId="0" borderId="1" xfId="0" applyFont="1" applyFill="1" applyBorder="1" applyAlignment="1">
      <alignment horizontal="right"/>
    </xf>
    <xf numFmtId="0" fontId="1" fillId="0" borderId="7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4" fontId="11" fillId="0" borderId="7" xfId="0" applyNumberFormat="1" applyFont="1" applyBorder="1" applyAlignment="1">
      <alignment vertical="center"/>
    </xf>
    <xf numFmtId="4" fontId="11" fillId="0" borderId="0" xfId="0" applyNumberFormat="1" applyFont="1" applyBorder="1" applyAlignment="1">
      <alignment vertical="center"/>
    </xf>
    <xf numFmtId="4" fontId="11" fillId="0" borderId="1" xfId="0" applyNumberFormat="1" applyFont="1" applyBorder="1" applyAlignment="1">
      <alignment vertical="center"/>
    </xf>
    <xf numFmtId="0" fontId="12" fillId="0" borderId="6" xfId="0" applyFont="1" applyBorder="1" applyProtection="1">
      <protection locked="0"/>
    </xf>
    <xf numFmtId="0" fontId="15" fillId="0" borderId="7" xfId="0" applyFont="1" applyFill="1" applyBorder="1" applyAlignment="1">
      <alignment horizontal="right"/>
    </xf>
    <xf numFmtId="0" fontId="12" fillId="0" borderId="8" xfId="0" applyFont="1" applyBorder="1" applyProtection="1">
      <protection locked="0"/>
    </xf>
    <xf numFmtId="0" fontId="12" fillId="0" borderId="9" xfId="0" applyFont="1" applyBorder="1" applyProtection="1">
      <protection locked="0"/>
    </xf>
    <xf numFmtId="0" fontId="15" fillId="0" borderId="0" xfId="0" applyFont="1" applyFill="1" applyBorder="1" applyAlignment="1">
      <alignment horizontal="right"/>
    </xf>
    <xf numFmtId="0" fontId="12" fillId="0" borderId="10" xfId="0" applyFont="1" applyBorder="1" applyProtection="1">
      <protection locked="0"/>
    </xf>
    <xf numFmtId="0" fontId="12" fillId="0" borderId="11" xfId="0" applyFont="1" applyBorder="1" applyProtection="1">
      <protection locked="0"/>
    </xf>
    <xf numFmtId="0" fontId="15" fillId="0" borderId="1" xfId="0" applyFont="1" applyFill="1" applyBorder="1" applyAlignment="1">
      <alignment horizontal="right"/>
    </xf>
    <xf numFmtId="0" fontId="12" fillId="0" borderId="12" xfId="0" applyFont="1" applyBorder="1" applyProtection="1">
      <protection locked="0"/>
    </xf>
    <xf numFmtId="49" fontId="1" fillId="0" borderId="0" xfId="0" applyNumberFormat="1" applyFont="1" applyAlignment="1" applyProtection="1">
      <alignment horizontal="left" vertical="center" wrapText="1"/>
      <protection locked="0"/>
    </xf>
    <xf numFmtId="0" fontId="1" fillId="3" borderId="0" xfId="0" applyFont="1" applyFill="1"/>
    <xf numFmtId="49" fontId="1" fillId="5" borderId="0" xfId="0" applyNumberFormat="1" applyFont="1" applyFill="1" applyProtection="1">
      <protection locked="0"/>
    </xf>
    <xf numFmtId="0" fontId="1" fillId="3" borderId="0" xfId="0" applyFont="1" applyFill="1"/>
    <xf numFmtId="0" fontId="1" fillId="2" borderId="0" xfId="0" applyFont="1" applyFill="1"/>
    <xf numFmtId="0" fontId="1" fillId="3" borderId="0" xfId="0" applyFont="1" applyFill="1"/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4" fontId="11" fillId="0" borderId="7" xfId="0" applyNumberFormat="1" applyFont="1" applyBorder="1" applyAlignment="1">
      <alignment vertical="center"/>
    </xf>
    <xf numFmtId="4" fontId="11" fillId="0" borderId="0" xfId="0" applyNumberFormat="1" applyFont="1" applyBorder="1" applyAlignment="1">
      <alignment vertical="center"/>
    </xf>
    <xf numFmtId="4" fontId="11" fillId="0" borderId="1" xfId="0" applyNumberFormat="1" applyFont="1" applyBorder="1" applyAlignment="1">
      <alignment vertical="center"/>
    </xf>
    <xf numFmtId="0" fontId="1" fillId="0" borderId="0" xfId="0" applyFont="1" applyFill="1" applyAlignment="1">
      <alignment horizontal="right" vertical="center"/>
    </xf>
    <xf numFmtId="0" fontId="1" fillId="0" borderId="7" xfId="0" applyFont="1" applyFill="1" applyBorder="1" applyAlignment="1">
      <alignment horizontal="right" vertical="center"/>
    </xf>
    <xf numFmtId="4" fontId="11" fillId="0" borderId="0" xfId="0" applyNumberFormat="1" applyFont="1" applyAlignment="1">
      <alignment vertical="center"/>
    </xf>
    <xf numFmtId="0" fontId="1" fillId="0" borderId="0" xfId="0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0" fontId="9" fillId="3" borderId="3" xfId="0" applyFont="1" applyFill="1" applyBorder="1" applyAlignment="1" applyProtection="1">
      <protection locked="0"/>
    </xf>
    <xf numFmtId="0" fontId="1" fillId="0" borderId="4" xfId="0" applyFont="1" applyBorder="1" applyAlignment="1"/>
    <xf numFmtId="0" fontId="1" fillId="0" borderId="5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cat>
            <c:strRef>
              <c:f>MONDAY!$C$57:$C$60</c:f>
              <c:strCache>
                <c:ptCount val="4"/>
                <c:pt idx="0">
                  <c:v>Customer</c:v>
                </c:pt>
                <c:pt idx="1">
                  <c:v>Internal</c:v>
                </c:pt>
                <c:pt idx="2">
                  <c:v>Training</c:v>
                </c:pt>
                <c:pt idx="3">
                  <c:v>Travel</c:v>
                </c:pt>
              </c:strCache>
            </c:strRef>
          </c:cat>
          <c:val>
            <c:numRef>
              <c:f>MONDAY!$D$57:$D$60</c:f>
              <c:numCache>
                <c:formatCode>#,##0.00</c:formatCode>
                <c:ptCount val="4"/>
                <c:pt idx="0">
                  <c:v>6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3461978474281628"/>
          <c:h val="0.61895975379192936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786702479947018"/>
          <c:y val="7.4982958418541246E-2"/>
          <c:w val="0.67353619348983251"/>
          <c:h val="0.75424912376750453"/>
        </c:manualLayout>
      </c:layout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(MONDAY!$S$14,MONDAY!$S$16,MONDAY!$S$18,MONDAY!$S$20,MONDAY!$S$22,MONDAY!$S$24,MONDAY!$S$26,MONDAY!$S$28,MONDAY!$S$30,MONDAY!$S$32,MONDAY!$S$34,MONDAY!$S$36)</c:f>
              <c:strCache>
                <c:ptCount val="3"/>
                <c:pt idx="0">
                  <c:v>Email Review/Followup</c:v>
                </c:pt>
                <c:pt idx="1">
                  <c:v>MDM</c:v>
                </c:pt>
                <c:pt idx="2">
                  <c:v>Customer Health</c:v>
                </c:pt>
              </c:strCache>
            </c:strRef>
          </c:cat>
          <c:val>
            <c:numRef>
              <c:f>(MONDAY!$Y$14,MONDAY!$Y$16,MONDAY!$Y$18,MONDAY!$Y$20,MONDAY!$Y$22,MONDAY!$Y$24,MONDAY!$Y$26,MONDAY!$Y$28,MONDAY!$Y$30,MONDAY!$Y$32,MONDAY!$Y$34,MONDAY!$Y$36)</c:f>
              <c:numCache>
                <c:formatCode>#,##0.00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48576"/>
        <c:axId val="129208256"/>
      </c:barChart>
      <c:catAx>
        <c:axId val="129048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9208256"/>
        <c:crosses val="autoZero"/>
        <c:auto val="1"/>
        <c:lblAlgn val="ctr"/>
        <c:lblOffset val="100"/>
        <c:tickLblSkip val="1"/>
        <c:noMultiLvlLbl val="0"/>
      </c:catAx>
      <c:valAx>
        <c:axId val="129208256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29048576"/>
        <c:crosses val="autoZero"/>
        <c:crossBetween val="between"/>
      </c:valAx>
      <c:spPr>
        <a:gradFill>
          <a:gsLst>
            <a:gs pos="46000">
              <a:schemeClr val="accent3">
                <a:lumMod val="60000"/>
                <a:lumOff val="40000"/>
              </a:schemeClr>
            </a:gs>
            <a:gs pos="77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Products</c:v>
          </c:tx>
          <c:spPr>
            <a:solidFill>
              <a:schemeClr val="accent3">
                <a:lumMod val="75000"/>
              </a:schemeClr>
            </a:solidFill>
            <a:effectLst>
              <a:innerShdw blurRad="63500" dist="50800" dir="2700000">
                <a:schemeClr val="accent3">
                  <a:lumMod val="50000"/>
                  <a:alpha val="50000"/>
                </a:schemeClr>
              </a:innerShdw>
            </a:effectLst>
          </c:spPr>
          <c:invertIfNegative val="0"/>
          <c:cat>
            <c:strRef>
              <c:f>MONDAY!$C$47:$C$54</c:f>
              <c:strCache>
                <c:ptCount val="8"/>
                <c:pt idx="0">
                  <c:v>BD</c:v>
                </c:pt>
                <c:pt idx="1">
                  <c:v>DI</c:v>
                </c:pt>
                <c:pt idx="2">
                  <c:v>DQ</c:v>
                </c:pt>
                <c:pt idx="3">
                  <c:v>ESB</c:v>
                </c:pt>
                <c:pt idx="4">
                  <c:v>MDB</c:v>
                </c:pt>
                <c:pt idx="5">
                  <c:v>MDM</c:v>
                </c:pt>
                <c:pt idx="6">
                  <c:v>TDM</c:v>
                </c:pt>
                <c:pt idx="7">
                  <c:v>TIC</c:v>
                </c:pt>
              </c:strCache>
            </c:strRef>
          </c:cat>
          <c:val>
            <c:numRef>
              <c:f>MONDAY!$D$47:$D$54</c:f>
              <c:numCache>
                <c:formatCode>#,##0.00</c:formatCode>
                <c:ptCount val="8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9049088"/>
        <c:axId val="129209984"/>
      </c:barChart>
      <c:catAx>
        <c:axId val="129049088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29209984"/>
        <c:crosses val="autoZero"/>
        <c:auto val="1"/>
        <c:lblAlgn val="ctr"/>
        <c:lblOffset val="100"/>
        <c:noMultiLvlLbl val="0"/>
      </c:catAx>
      <c:valAx>
        <c:axId val="12920998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29049088"/>
        <c:crosses val="autoZero"/>
        <c:crossBetween val="between"/>
      </c:valAx>
      <c:spPr>
        <a:gradFill>
          <a:gsLst>
            <a:gs pos="46000">
              <a:schemeClr val="accent1">
                <a:tint val="66000"/>
                <a:satMod val="160000"/>
                <a:alpha val="72000"/>
              </a:schemeClr>
            </a:gs>
            <a:gs pos="77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effectLst>
          <a:innerShdw blurRad="63500" dist="50800" dir="2700000">
            <a:srgbClr val="002060">
              <a:alpha val="50000"/>
            </a:srgbClr>
          </a:inn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cat>
            <c:strRef>
              <c:f>TUESDAY!$C$57:$C$60</c:f>
              <c:strCache>
                <c:ptCount val="4"/>
                <c:pt idx="0">
                  <c:v>Customer</c:v>
                </c:pt>
                <c:pt idx="1">
                  <c:v>Internal</c:v>
                </c:pt>
                <c:pt idx="2">
                  <c:v>Training</c:v>
                </c:pt>
                <c:pt idx="3">
                  <c:v>Travel</c:v>
                </c:pt>
              </c:strCache>
            </c:strRef>
          </c:cat>
          <c:val>
            <c:numRef>
              <c:f>TUESDAY!$D$57:$D$60</c:f>
              <c:numCache>
                <c:formatCode>#,##0.00</c:formatCode>
                <c:ptCount val="4"/>
                <c:pt idx="0">
                  <c:v>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3461978474281628"/>
          <c:h val="0.6257501518482713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786702479947018"/>
          <c:y val="7.4982958418541246E-2"/>
          <c:w val="0.67353619348983251"/>
          <c:h val="0.75424912376750453"/>
        </c:manualLayout>
      </c:layout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(TUESDAY!$S$14,TUESDAY!$S$16,TUESDAY!$S$18,TUESDAY!$S$20,TUESDAY!$S$22,TUESDAY!$S$24,TUESDAY!$S$26,TUESDAY!$S$28,TUESDAY!$S$30,TUESDAY!$S$32,TUESDAY!$S$34,TUESDAY!$S$36)</c:f>
              <c:strCache>
                <c:ptCount val="3"/>
                <c:pt idx="0">
                  <c:v>Email Review/Followup</c:v>
                </c:pt>
                <c:pt idx="1">
                  <c:v>Non-Billable</c:v>
                </c:pt>
                <c:pt idx="2">
                  <c:v>How-To's</c:v>
                </c:pt>
              </c:strCache>
            </c:strRef>
          </c:cat>
          <c:val>
            <c:numRef>
              <c:f>(TUESDAY!$Y$14,TUESDAY!$Y$16,TUESDAY!$Y$18,TUESDAY!$Y$20,TUESDAY!$Y$22,TUESDAY!$Y$24,TUESDAY!$Y$26,TUESDAY!$Y$28,TUESDAY!$Y$30,TUESDAY!$Y$32,TUESDAY!$Y$34,TUESDAY!$Y$36)</c:f>
              <c:numCache>
                <c:formatCode>#,##0.00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262720"/>
        <c:axId val="129157376"/>
      </c:barChart>
      <c:catAx>
        <c:axId val="1352627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9157376"/>
        <c:crosses val="autoZero"/>
        <c:auto val="1"/>
        <c:lblAlgn val="ctr"/>
        <c:lblOffset val="100"/>
        <c:tickLblSkip val="1"/>
        <c:noMultiLvlLbl val="0"/>
      </c:catAx>
      <c:valAx>
        <c:axId val="129157376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35262720"/>
        <c:crosses val="autoZero"/>
        <c:crossBetween val="between"/>
      </c:valAx>
      <c:spPr>
        <a:gradFill>
          <a:gsLst>
            <a:gs pos="46000">
              <a:schemeClr val="accent3">
                <a:lumMod val="60000"/>
                <a:lumOff val="40000"/>
              </a:schemeClr>
            </a:gs>
            <a:gs pos="77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Products</c:v>
          </c:tx>
          <c:spPr>
            <a:solidFill>
              <a:schemeClr val="accent3">
                <a:lumMod val="75000"/>
              </a:schemeClr>
            </a:solidFill>
            <a:effectLst>
              <a:innerShdw blurRad="63500" dist="50800" dir="2700000">
                <a:schemeClr val="accent3">
                  <a:lumMod val="50000"/>
                  <a:alpha val="50000"/>
                </a:schemeClr>
              </a:innerShdw>
            </a:effectLst>
          </c:spPr>
          <c:invertIfNegative val="0"/>
          <c:cat>
            <c:strRef>
              <c:f>TUESDAY!$C$47:$C$54</c:f>
              <c:strCache>
                <c:ptCount val="8"/>
                <c:pt idx="0">
                  <c:v>BD</c:v>
                </c:pt>
                <c:pt idx="1">
                  <c:v>DI</c:v>
                </c:pt>
                <c:pt idx="2">
                  <c:v>DQ</c:v>
                </c:pt>
                <c:pt idx="3">
                  <c:v>ESB</c:v>
                </c:pt>
                <c:pt idx="4">
                  <c:v>MDB</c:v>
                </c:pt>
                <c:pt idx="5">
                  <c:v>MDM</c:v>
                </c:pt>
                <c:pt idx="6">
                  <c:v>TDM</c:v>
                </c:pt>
                <c:pt idx="7">
                  <c:v>TIC</c:v>
                </c:pt>
              </c:strCache>
            </c:strRef>
          </c:cat>
          <c:val>
            <c:numRef>
              <c:f>TUESDAY!$D$47:$D$54</c:f>
              <c:numCache>
                <c:formatCode>#,##0.00</c:formatCode>
                <c:ptCount val="8"/>
                <c:pt idx="0">
                  <c:v>4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263232"/>
        <c:axId val="129159104"/>
      </c:barChart>
      <c:catAx>
        <c:axId val="13526323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29159104"/>
        <c:crosses val="autoZero"/>
        <c:auto val="1"/>
        <c:lblAlgn val="ctr"/>
        <c:lblOffset val="100"/>
        <c:noMultiLvlLbl val="0"/>
      </c:catAx>
      <c:valAx>
        <c:axId val="12915910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35263232"/>
        <c:crosses val="autoZero"/>
        <c:crossBetween val="between"/>
      </c:valAx>
      <c:spPr>
        <a:gradFill>
          <a:gsLst>
            <a:gs pos="46000">
              <a:schemeClr val="accent1">
                <a:tint val="66000"/>
                <a:satMod val="160000"/>
                <a:alpha val="72000"/>
              </a:schemeClr>
            </a:gs>
            <a:gs pos="77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effectLst>
          <a:innerShdw blurRad="63500" dist="50800" dir="2700000">
            <a:srgbClr val="002060">
              <a:alpha val="50000"/>
            </a:srgbClr>
          </a:inn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cat>
            <c:strRef>
              <c:f>WEDNESDAY!$C$57:$C$60</c:f>
              <c:strCache>
                <c:ptCount val="4"/>
                <c:pt idx="0">
                  <c:v>Customer</c:v>
                </c:pt>
                <c:pt idx="1">
                  <c:v>Internal</c:v>
                </c:pt>
                <c:pt idx="2">
                  <c:v>Training</c:v>
                </c:pt>
                <c:pt idx="3">
                  <c:v>Travel</c:v>
                </c:pt>
              </c:strCache>
            </c:strRef>
          </c:cat>
          <c:val>
            <c:numRef>
              <c:f>WEDNESDAY!$D$57:$D$60</c:f>
              <c:numCache>
                <c:formatCode>#,##0.00</c:formatCode>
                <c:ptCount val="4"/>
                <c:pt idx="0">
                  <c:v>6</c:v>
                </c:pt>
                <c:pt idx="1">
                  <c:v>2.5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3461978474281628"/>
          <c:h val="0.6257501518482713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786702479947018"/>
          <c:y val="7.4982958418541246E-2"/>
          <c:w val="0.67094013949190923"/>
          <c:h val="0.75424912376750453"/>
        </c:manualLayout>
      </c:layout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(WEDNESDAY!$S$14,WEDNESDAY!$S$16,WEDNESDAY!$S$18,WEDNESDAY!$S$20,WEDNESDAY!$S$22,WEDNESDAY!$S$24,WEDNESDAY!$S$26,WEDNESDAY!$S$28,WEDNESDAY!$S$30,WEDNESDAY!$S$32,WEDNESDAY!$S$34,WEDNESDAY!$S$36)</c:f>
              <c:strCache>
                <c:ptCount val="6"/>
                <c:pt idx="0">
                  <c:v>Email Review/Followup</c:v>
                </c:pt>
                <c:pt idx="1">
                  <c:v>Topical</c:v>
                </c:pt>
                <c:pt idx="2">
                  <c:v>Non-Billable</c:v>
                </c:pt>
                <c:pt idx="3">
                  <c:v>Planning</c:v>
                </c:pt>
                <c:pt idx="4">
                  <c:v>Upgrades</c:v>
                </c:pt>
                <c:pt idx="5">
                  <c:v>How-To's</c:v>
                </c:pt>
              </c:strCache>
            </c:strRef>
          </c:cat>
          <c:val>
            <c:numRef>
              <c:f>(WEDNESDAY!$Y$14,WEDNESDAY!$Y$16,WEDNESDAY!$Y$18,WEDNESDAY!$Y$20,WEDNESDAY!$Y$22,WEDNESDAY!$Y$24,WEDNESDAY!$Y$26,WEDNESDAY!$Y$28,WEDNESDAY!$Y$30,WEDNESDAY!$Y$32,WEDNESDAY!$Y$34,WEDNESDAY!$Y$36)</c:f>
              <c:numCache>
                <c:formatCode>#,##0.00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2.5</c:v>
                </c:pt>
                <c:pt idx="3">
                  <c:v>0.5</c:v>
                </c:pt>
                <c:pt idx="4">
                  <c:v>1</c:v>
                </c:pt>
                <c:pt idx="5">
                  <c:v>2.5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162944"/>
        <c:axId val="156623424"/>
      </c:barChart>
      <c:catAx>
        <c:axId val="158162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6623424"/>
        <c:crosses val="autoZero"/>
        <c:auto val="1"/>
        <c:lblAlgn val="ctr"/>
        <c:lblOffset val="100"/>
        <c:tickLblSkip val="1"/>
        <c:noMultiLvlLbl val="0"/>
      </c:catAx>
      <c:valAx>
        <c:axId val="156623424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58162944"/>
        <c:crosses val="autoZero"/>
        <c:crossBetween val="between"/>
      </c:valAx>
      <c:spPr>
        <a:gradFill>
          <a:gsLst>
            <a:gs pos="46000">
              <a:schemeClr val="accent3">
                <a:lumMod val="60000"/>
                <a:lumOff val="40000"/>
              </a:schemeClr>
            </a:gs>
            <a:gs pos="77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Products</c:v>
          </c:tx>
          <c:spPr>
            <a:solidFill>
              <a:schemeClr val="accent3">
                <a:lumMod val="75000"/>
              </a:schemeClr>
            </a:solidFill>
            <a:effectLst>
              <a:innerShdw blurRad="63500" dist="50800" dir="2700000">
                <a:schemeClr val="accent3">
                  <a:lumMod val="50000"/>
                  <a:alpha val="50000"/>
                </a:schemeClr>
              </a:innerShdw>
            </a:effectLst>
          </c:spPr>
          <c:invertIfNegative val="0"/>
          <c:cat>
            <c:strRef>
              <c:f>WEDNESDAY!$C$47:$C$54</c:f>
              <c:strCache>
                <c:ptCount val="8"/>
                <c:pt idx="0">
                  <c:v>BD</c:v>
                </c:pt>
                <c:pt idx="1">
                  <c:v>DI</c:v>
                </c:pt>
                <c:pt idx="2">
                  <c:v>DQ</c:v>
                </c:pt>
                <c:pt idx="3">
                  <c:v>ESB</c:v>
                </c:pt>
                <c:pt idx="4">
                  <c:v>MDB</c:v>
                </c:pt>
                <c:pt idx="5">
                  <c:v>MDM</c:v>
                </c:pt>
                <c:pt idx="6">
                  <c:v>TDM</c:v>
                </c:pt>
                <c:pt idx="7">
                  <c:v>TIC</c:v>
                </c:pt>
              </c:strCache>
            </c:strRef>
          </c:cat>
          <c:val>
            <c:numRef>
              <c:f>WEDNESDAY!$D$47:$D$54</c:f>
              <c:numCache>
                <c:formatCode>#,##0.00</c:formatCode>
                <c:ptCount val="8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163456"/>
        <c:axId val="156625152"/>
      </c:barChart>
      <c:catAx>
        <c:axId val="15816345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56625152"/>
        <c:crosses val="autoZero"/>
        <c:auto val="1"/>
        <c:lblAlgn val="ctr"/>
        <c:lblOffset val="100"/>
        <c:noMultiLvlLbl val="0"/>
      </c:catAx>
      <c:valAx>
        <c:axId val="156625152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8163456"/>
        <c:crosses val="autoZero"/>
        <c:crossBetween val="between"/>
      </c:valAx>
      <c:spPr>
        <a:gradFill>
          <a:gsLst>
            <a:gs pos="46000">
              <a:schemeClr val="accent1">
                <a:tint val="66000"/>
                <a:satMod val="160000"/>
                <a:alpha val="72000"/>
              </a:schemeClr>
            </a:gs>
            <a:gs pos="77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effectLst>
          <a:innerShdw blurRad="63500" dist="50800" dir="2700000">
            <a:srgbClr val="002060">
              <a:alpha val="50000"/>
            </a:srgbClr>
          </a:inn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cat>
            <c:strRef>
              <c:f>THURSDAY!$C$57:$C$60</c:f>
              <c:strCache>
                <c:ptCount val="4"/>
                <c:pt idx="0">
                  <c:v>Customer</c:v>
                </c:pt>
                <c:pt idx="1">
                  <c:v>Internal</c:v>
                </c:pt>
                <c:pt idx="2">
                  <c:v>Training</c:v>
                </c:pt>
                <c:pt idx="3">
                  <c:v>Travel</c:v>
                </c:pt>
              </c:strCache>
            </c:strRef>
          </c:cat>
          <c:val>
            <c:numRef>
              <c:f>THURSDAY!$D$57:$D$60</c:f>
              <c:numCache>
                <c:formatCode>#,##0.00</c:formatCode>
                <c:ptCount val="4"/>
                <c:pt idx="0">
                  <c:v>3.5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3461978474281628"/>
          <c:h val="0.6257501518482713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786702479947018"/>
          <c:y val="7.4982958418541246E-2"/>
          <c:w val="0.66834408549398594"/>
          <c:h val="0.75424912376750453"/>
        </c:manualLayout>
      </c:layout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(THURSDAY!$S$14,THURSDAY!$S$16,THURSDAY!$S$18,THURSDAY!$S$20,THURSDAY!$S$22,THURSDAY!$S$24,THURSDAY!$S$26,THURSDAY!$S$28,THURSDAY!$S$30,THURSDAY!$S$32,THURSDAY!$S$34,THURSDAY!$S$36)</c:f>
              <c:strCache>
                <c:ptCount val="5"/>
                <c:pt idx="0">
                  <c:v>Email Review/Followup</c:v>
                </c:pt>
                <c:pt idx="1">
                  <c:v>How-To's</c:v>
                </c:pt>
                <c:pt idx="2">
                  <c:v>Non-Billable</c:v>
                </c:pt>
                <c:pt idx="3">
                  <c:v>Topical</c:v>
                </c:pt>
                <c:pt idx="4">
                  <c:v>How-To's</c:v>
                </c:pt>
              </c:strCache>
            </c:strRef>
          </c:cat>
          <c:val>
            <c:numRef>
              <c:f>(THURSDAY!$Y$14,THURSDAY!$Y$16,THURSDAY!$Y$18,THURSDAY!$Y$20,THURSDAY!$Y$22,THURSDAY!$Y$24,THURSDAY!$Y$26,THURSDAY!$Y$28,THURSDAY!$Y$30,THURSDAY!$Y$32,THURSDAY!$Y$34,THURSDAY!$Y$36)</c:f>
              <c:numCache>
                <c:formatCode>#,##0.00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220800"/>
        <c:axId val="156629760"/>
      </c:barChart>
      <c:catAx>
        <c:axId val="1582208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6629760"/>
        <c:crosses val="autoZero"/>
        <c:auto val="1"/>
        <c:lblAlgn val="ctr"/>
        <c:lblOffset val="100"/>
        <c:tickLblSkip val="1"/>
        <c:noMultiLvlLbl val="0"/>
      </c:catAx>
      <c:valAx>
        <c:axId val="156629760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58220800"/>
        <c:crosses val="autoZero"/>
        <c:crossBetween val="between"/>
      </c:valAx>
      <c:spPr>
        <a:gradFill>
          <a:gsLst>
            <a:gs pos="46000">
              <a:schemeClr val="accent3">
                <a:lumMod val="60000"/>
                <a:lumOff val="40000"/>
              </a:schemeClr>
            </a:gs>
            <a:gs pos="77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Products</c:v>
          </c:tx>
          <c:spPr>
            <a:solidFill>
              <a:schemeClr val="accent3">
                <a:lumMod val="75000"/>
              </a:schemeClr>
            </a:solidFill>
            <a:effectLst>
              <a:innerShdw blurRad="63500" dist="50800" dir="2700000">
                <a:schemeClr val="accent3">
                  <a:lumMod val="50000"/>
                  <a:alpha val="50000"/>
                </a:schemeClr>
              </a:innerShdw>
            </a:effectLst>
          </c:spPr>
          <c:invertIfNegative val="0"/>
          <c:cat>
            <c:strRef>
              <c:f>THURSDAY!$C$47:$C$54</c:f>
              <c:strCache>
                <c:ptCount val="8"/>
                <c:pt idx="0">
                  <c:v>BD</c:v>
                </c:pt>
                <c:pt idx="1">
                  <c:v>DI</c:v>
                </c:pt>
                <c:pt idx="2">
                  <c:v>DQ</c:v>
                </c:pt>
                <c:pt idx="3">
                  <c:v>ESB</c:v>
                </c:pt>
                <c:pt idx="4">
                  <c:v>MDB</c:v>
                </c:pt>
                <c:pt idx="5">
                  <c:v>MDM</c:v>
                </c:pt>
                <c:pt idx="6">
                  <c:v>TDM</c:v>
                </c:pt>
                <c:pt idx="7">
                  <c:v>TIC</c:v>
                </c:pt>
              </c:strCache>
            </c:strRef>
          </c:cat>
          <c:val>
            <c:numRef>
              <c:f>THURSDAY!$D$47:$D$54</c:f>
              <c:numCache>
                <c:formatCode>#,##0.00</c:formatCode>
                <c:ptCount val="8"/>
                <c:pt idx="0">
                  <c:v>2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221312"/>
        <c:axId val="157786688"/>
      </c:barChart>
      <c:catAx>
        <c:axId val="15822131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57786688"/>
        <c:crosses val="autoZero"/>
        <c:auto val="1"/>
        <c:lblAlgn val="ctr"/>
        <c:lblOffset val="100"/>
        <c:noMultiLvlLbl val="0"/>
      </c:catAx>
      <c:valAx>
        <c:axId val="15778668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8221312"/>
        <c:crosses val="autoZero"/>
        <c:crossBetween val="between"/>
      </c:valAx>
      <c:spPr>
        <a:gradFill>
          <a:gsLst>
            <a:gs pos="46000">
              <a:schemeClr val="accent1">
                <a:tint val="66000"/>
                <a:satMod val="160000"/>
                <a:alpha val="72000"/>
              </a:schemeClr>
            </a:gs>
            <a:gs pos="77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effectLst>
          <a:innerShdw blurRad="63500" dist="50800" dir="2700000">
            <a:srgbClr val="002060">
              <a:alpha val="50000"/>
            </a:srgbClr>
          </a:inn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cat>
            <c:strRef>
              <c:f>FRIDAY!$C$57:$C$60</c:f>
              <c:strCache>
                <c:ptCount val="4"/>
                <c:pt idx="0">
                  <c:v>Customer</c:v>
                </c:pt>
                <c:pt idx="1">
                  <c:v>Internal</c:v>
                </c:pt>
                <c:pt idx="2">
                  <c:v>Training</c:v>
                </c:pt>
                <c:pt idx="3">
                  <c:v>Travel</c:v>
                </c:pt>
              </c:strCache>
            </c:strRef>
          </c:cat>
          <c:val>
            <c:numRef>
              <c:f>FRIDAY!$D$57:$D$60</c:f>
              <c:numCache>
                <c:formatCode>#,##0.00</c:formatCode>
                <c:ptCount val="4"/>
                <c:pt idx="0">
                  <c:v>1.5</c:v>
                </c:pt>
                <c:pt idx="1">
                  <c:v>4.5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3461978474281628"/>
          <c:h val="0.61216935573558728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786702479947018"/>
          <c:y val="7.4982958418541246E-2"/>
          <c:w val="0.67353619348983251"/>
          <c:h val="0.75424912376750453"/>
        </c:manualLayout>
      </c:layout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(FRIDAY!$S$14,FRIDAY!$S$16,FRIDAY!$S$18,FRIDAY!$S$20,FRIDAY!$S$22,FRIDAY!$S$24,FRIDAY!$S$26,FRIDAY!$S$28,FRIDAY!$S$30,FRIDAY!$S$32,FRIDAY!$S$34,FRIDAY!$S$36)</c:f>
              <c:strCache>
                <c:ptCount val="4"/>
                <c:pt idx="0">
                  <c:v>Email Review/Followup</c:v>
                </c:pt>
                <c:pt idx="1">
                  <c:v>How-To's</c:v>
                </c:pt>
                <c:pt idx="2">
                  <c:v>Planning</c:v>
                </c:pt>
                <c:pt idx="3">
                  <c:v>Other</c:v>
                </c:pt>
              </c:strCache>
            </c:strRef>
          </c:cat>
          <c:val>
            <c:numRef>
              <c:f>(FRIDAY!$Y$14,FRIDAY!$Y$16,FRIDAY!$Y$18,FRIDAY!$Y$20,FRIDAY!$Y$22,FRIDAY!$Y$24,FRIDAY!$Y$26,FRIDAY!$Y$28,FRIDAY!$Y$30,FRIDAY!$Y$32,FRIDAY!$Y$34,FRIDAY!$Y$36)</c:f>
              <c:numCache>
                <c:formatCode>#,##0.00</c:formatCode>
                <c:ptCount val="12"/>
                <c:pt idx="0">
                  <c:v>1</c:v>
                </c:pt>
                <c:pt idx="1">
                  <c:v>1.5</c:v>
                </c:pt>
                <c:pt idx="2">
                  <c:v>0.5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175424"/>
        <c:axId val="157791296"/>
      </c:barChart>
      <c:catAx>
        <c:axId val="1631754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91296"/>
        <c:crosses val="autoZero"/>
        <c:auto val="1"/>
        <c:lblAlgn val="ctr"/>
        <c:lblOffset val="100"/>
        <c:tickLblSkip val="1"/>
        <c:noMultiLvlLbl val="0"/>
      </c:catAx>
      <c:valAx>
        <c:axId val="157791296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63175424"/>
        <c:crosses val="autoZero"/>
        <c:crossBetween val="between"/>
      </c:valAx>
      <c:spPr>
        <a:gradFill>
          <a:gsLst>
            <a:gs pos="46000">
              <a:schemeClr val="accent3">
                <a:lumMod val="60000"/>
                <a:lumOff val="40000"/>
              </a:schemeClr>
            </a:gs>
            <a:gs pos="77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Products</c:v>
          </c:tx>
          <c:spPr>
            <a:solidFill>
              <a:schemeClr val="accent3">
                <a:lumMod val="75000"/>
              </a:schemeClr>
            </a:solidFill>
            <a:effectLst>
              <a:innerShdw blurRad="63500" dist="50800" dir="2700000">
                <a:schemeClr val="accent3">
                  <a:lumMod val="50000"/>
                  <a:alpha val="50000"/>
                </a:schemeClr>
              </a:innerShdw>
            </a:effectLst>
          </c:spPr>
          <c:invertIfNegative val="0"/>
          <c:cat>
            <c:strRef>
              <c:f>FRIDAY!$C$47:$C$54</c:f>
              <c:strCache>
                <c:ptCount val="8"/>
                <c:pt idx="0">
                  <c:v>BD</c:v>
                </c:pt>
                <c:pt idx="1">
                  <c:v>DI</c:v>
                </c:pt>
                <c:pt idx="2">
                  <c:v>DQ</c:v>
                </c:pt>
                <c:pt idx="3">
                  <c:v>ESB</c:v>
                </c:pt>
                <c:pt idx="4">
                  <c:v>MDB</c:v>
                </c:pt>
                <c:pt idx="5">
                  <c:v>MDM</c:v>
                </c:pt>
                <c:pt idx="6">
                  <c:v>TDM</c:v>
                </c:pt>
                <c:pt idx="7">
                  <c:v>TIC</c:v>
                </c:pt>
              </c:strCache>
            </c:strRef>
          </c:cat>
          <c:val>
            <c:numRef>
              <c:f>FRIDAY!$D$47:$D$54</c:f>
              <c:numCache>
                <c:formatCode>#,##0.00</c:formatCode>
                <c:ptCount val="8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175936"/>
        <c:axId val="157793024"/>
      </c:barChart>
      <c:catAx>
        <c:axId val="16317593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57793024"/>
        <c:crosses val="autoZero"/>
        <c:auto val="1"/>
        <c:lblAlgn val="ctr"/>
        <c:lblOffset val="100"/>
        <c:noMultiLvlLbl val="0"/>
      </c:catAx>
      <c:valAx>
        <c:axId val="15779302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63175936"/>
        <c:crosses val="autoZero"/>
        <c:crossBetween val="between"/>
      </c:valAx>
      <c:spPr>
        <a:gradFill>
          <a:gsLst>
            <a:gs pos="46000">
              <a:schemeClr val="accent1">
                <a:tint val="66000"/>
                <a:satMod val="160000"/>
                <a:alpha val="72000"/>
              </a:schemeClr>
            </a:gs>
            <a:gs pos="77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effectLst>
          <a:innerShdw blurRad="63500" dist="50800" dir="2700000">
            <a:srgbClr val="002060">
              <a:alpha val="50000"/>
            </a:srgbClr>
          </a:inn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cat>
            <c:strRef>
              <c:f>SATURDAY!$C$57:$C$60</c:f>
              <c:strCache>
                <c:ptCount val="4"/>
                <c:pt idx="0">
                  <c:v>Customer</c:v>
                </c:pt>
                <c:pt idx="1">
                  <c:v>Internal</c:v>
                </c:pt>
                <c:pt idx="2">
                  <c:v>Training</c:v>
                </c:pt>
                <c:pt idx="3">
                  <c:v>Travel</c:v>
                </c:pt>
              </c:strCache>
            </c:strRef>
          </c:cat>
          <c:val>
            <c:numRef>
              <c:f>SATURDAY!$D$57:$D$60</c:f>
              <c:numCache>
                <c:formatCode>#,##0.00</c:formatCode>
                <c:ptCount val="4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3461978474281628"/>
          <c:h val="0.61895975379192936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7705170031316E-2"/>
          <c:y val="7.4982958418541246E-2"/>
          <c:w val="0.90982616658898952"/>
          <c:h val="0.75424912376750453"/>
        </c:manualLayout>
      </c:layout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(SATURDAY!$S$14,SATURDAY!$S$16,SATURDAY!$S$18,SATURDAY!$S$20,SATURDAY!$S$22,SATURDAY!$S$24,SATURDAY!$S$26,SATURDAY!$S$28,SATURDAY!$S$30,SATURDAY!$S$32,SATURDAY!$S$34,SATURDAY!$S$36)</c:f>
              <c:strCache>
                <c:ptCount val="1"/>
                <c:pt idx="0">
                  <c:v>Non-Billable</c:v>
                </c:pt>
              </c:strCache>
            </c:strRef>
          </c:cat>
          <c:val>
            <c:numRef>
              <c:f>(SATURDAY!$Y$14,SATURDAY!$Y$16,SATURDAY!$Y$18,SATURDAY!$Y$20,SATURDAY!$Y$22,SATURDAY!$Y$24,SATURDAY!$Y$26,SATURDAY!$Y$28,SATURDAY!$Y$30,SATURDAY!$Y$32,SATURDAY!$Y$34,SATURDAY!$Y$36)</c:f>
              <c:numCache>
                <c:formatCode>#,##0.00</c:formatCode>
                <c:ptCount val="12"/>
                <c:pt idx="0">
                  <c:v>0.5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37184"/>
        <c:axId val="162762112"/>
      </c:barChart>
      <c:catAx>
        <c:axId val="1630371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2762112"/>
        <c:crosses val="autoZero"/>
        <c:auto val="1"/>
        <c:lblAlgn val="ctr"/>
        <c:lblOffset val="100"/>
        <c:tickLblSkip val="1"/>
        <c:noMultiLvlLbl val="0"/>
      </c:catAx>
      <c:valAx>
        <c:axId val="162762112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63037184"/>
        <c:crosses val="autoZero"/>
        <c:crossBetween val="between"/>
      </c:valAx>
      <c:spPr>
        <a:gradFill>
          <a:gsLst>
            <a:gs pos="46000">
              <a:schemeClr val="accent3">
                <a:lumMod val="60000"/>
                <a:lumOff val="40000"/>
              </a:schemeClr>
            </a:gs>
            <a:gs pos="77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Products</c:v>
          </c:tx>
          <c:spPr>
            <a:solidFill>
              <a:schemeClr val="accent3">
                <a:lumMod val="75000"/>
              </a:schemeClr>
            </a:solidFill>
            <a:effectLst>
              <a:innerShdw blurRad="63500" dist="50800" dir="2700000">
                <a:schemeClr val="accent3">
                  <a:lumMod val="50000"/>
                  <a:alpha val="50000"/>
                </a:schemeClr>
              </a:innerShdw>
            </a:effectLst>
          </c:spPr>
          <c:invertIfNegative val="0"/>
          <c:cat>
            <c:strRef>
              <c:f>SATURDAY!$C$47:$C$54</c:f>
              <c:strCache>
                <c:ptCount val="8"/>
                <c:pt idx="0">
                  <c:v>BD</c:v>
                </c:pt>
                <c:pt idx="1">
                  <c:v>DI</c:v>
                </c:pt>
                <c:pt idx="2">
                  <c:v>DQ</c:v>
                </c:pt>
                <c:pt idx="3">
                  <c:v>ESB</c:v>
                </c:pt>
                <c:pt idx="4">
                  <c:v>MDB</c:v>
                </c:pt>
                <c:pt idx="5">
                  <c:v>MDM</c:v>
                </c:pt>
                <c:pt idx="6">
                  <c:v>TDM</c:v>
                </c:pt>
                <c:pt idx="7">
                  <c:v>TIC</c:v>
                </c:pt>
              </c:strCache>
            </c:strRef>
          </c:cat>
          <c:val>
            <c:numRef>
              <c:f>SATURDAY!$D$47:$D$54</c:f>
              <c:numCache>
                <c:formatCode>#,##0.00</c:formatCode>
                <c:ptCount val="8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037696"/>
        <c:axId val="162763840"/>
      </c:barChart>
      <c:catAx>
        <c:axId val="163037696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62763840"/>
        <c:crosses val="autoZero"/>
        <c:auto val="1"/>
        <c:lblAlgn val="ctr"/>
        <c:lblOffset val="100"/>
        <c:noMultiLvlLbl val="0"/>
      </c:catAx>
      <c:valAx>
        <c:axId val="16276384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63037696"/>
        <c:crosses val="autoZero"/>
        <c:crossBetween val="between"/>
      </c:valAx>
      <c:spPr>
        <a:gradFill>
          <a:gsLst>
            <a:gs pos="46000">
              <a:schemeClr val="accent1">
                <a:tint val="66000"/>
                <a:satMod val="160000"/>
                <a:alpha val="72000"/>
              </a:schemeClr>
            </a:gs>
            <a:gs pos="77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effectLst>
          <a:innerShdw blurRad="63500" dist="50800" dir="2700000">
            <a:srgbClr val="002060">
              <a:alpha val="50000"/>
            </a:srgbClr>
          </a:inn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cat>
            <c:strRef>
              <c:f>SUNDAY!$C$57:$C$60</c:f>
              <c:strCache>
                <c:ptCount val="4"/>
                <c:pt idx="0">
                  <c:v>Customer</c:v>
                </c:pt>
                <c:pt idx="1">
                  <c:v>Internal</c:v>
                </c:pt>
                <c:pt idx="2">
                  <c:v>Training</c:v>
                </c:pt>
                <c:pt idx="3">
                  <c:v>Travel</c:v>
                </c:pt>
              </c:strCache>
            </c:strRef>
          </c:cat>
          <c:val>
            <c:numRef>
              <c:f>SUNDAY!$D$57:$D$60</c:f>
              <c:numCache>
                <c:formatCode>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3461978474281628"/>
          <c:h val="0.61895975379192936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57705170031316E-2"/>
          <c:y val="7.4982958418541246E-2"/>
          <c:w val="0.90982616658898952"/>
          <c:h val="0.75424912376750453"/>
        </c:manualLayout>
      </c:layout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(SUNDAY!$S$14,SUNDAY!$S$16,SUNDAY!$S$18,SUNDAY!$S$20,SUNDAY!$S$22,SUNDAY!$S$24,SUNDAY!$S$26,SUNDAY!$S$28,SUNDAY!$S$30,SUNDAY!$S$32,SUNDAY!$S$34,SUNDAY!$S$36)</c:f>
              <c:strCache>
                <c:ptCount val="1"/>
                <c:pt idx="0">
                  <c:v>Paris</c:v>
                </c:pt>
              </c:strCache>
            </c:strRef>
          </c:cat>
          <c:val>
            <c:numRef>
              <c:f>(SUNDAY!$Y$14,SUNDAY!$Y$16,SUNDAY!$Y$18,SUNDAY!$Y$20,SUNDAY!$Y$22,SUNDAY!$Y$24,SUNDAY!$Y$26,SUNDAY!$Y$28,SUNDAY!$Y$30,SUNDAY!$Y$32,SUNDAY!$Y$34,SUNDAY!$Y$36)</c:f>
              <c:numCache>
                <c:formatCode>#,##0.00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356672"/>
        <c:axId val="163563200"/>
      </c:barChart>
      <c:catAx>
        <c:axId val="163356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3563200"/>
        <c:crosses val="autoZero"/>
        <c:auto val="1"/>
        <c:lblAlgn val="ctr"/>
        <c:lblOffset val="100"/>
        <c:tickLblSkip val="1"/>
        <c:noMultiLvlLbl val="0"/>
      </c:catAx>
      <c:valAx>
        <c:axId val="163563200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63356672"/>
        <c:crosses val="autoZero"/>
        <c:crossBetween val="between"/>
      </c:valAx>
      <c:spPr>
        <a:gradFill>
          <a:gsLst>
            <a:gs pos="46000">
              <a:schemeClr val="accent3">
                <a:lumMod val="60000"/>
                <a:lumOff val="40000"/>
              </a:schemeClr>
            </a:gs>
            <a:gs pos="77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Products</c:v>
          </c:tx>
          <c:spPr>
            <a:solidFill>
              <a:schemeClr val="accent3">
                <a:lumMod val="75000"/>
              </a:schemeClr>
            </a:solidFill>
            <a:effectLst>
              <a:innerShdw blurRad="63500" dist="50800" dir="2700000">
                <a:schemeClr val="accent3">
                  <a:lumMod val="50000"/>
                  <a:alpha val="50000"/>
                </a:schemeClr>
              </a:innerShdw>
            </a:effectLst>
          </c:spPr>
          <c:invertIfNegative val="0"/>
          <c:cat>
            <c:strRef>
              <c:f>SUNDAY!$C$47:$C$54</c:f>
              <c:strCache>
                <c:ptCount val="8"/>
                <c:pt idx="0">
                  <c:v>BD</c:v>
                </c:pt>
                <c:pt idx="1">
                  <c:v>DI</c:v>
                </c:pt>
                <c:pt idx="2">
                  <c:v>DQ</c:v>
                </c:pt>
                <c:pt idx="3">
                  <c:v>ESB</c:v>
                </c:pt>
                <c:pt idx="4">
                  <c:v>MDB</c:v>
                </c:pt>
                <c:pt idx="5">
                  <c:v>MDM</c:v>
                </c:pt>
                <c:pt idx="6">
                  <c:v>TDM</c:v>
                </c:pt>
                <c:pt idx="7">
                  <c:v>TIC</c:v>
                </c:pt>
              </c:strCache>
            </c:strRef>
          </c:cat>
          <c:val>
            <c:numRef>
              <c:f>SUNDAY!$D$47:$D$54</c:f>
              <c:numCache>
                <c:formatCode>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357184"/>
        <c:axId val="163564928"/>
      </c:barChart>
      <c:catAx>
        <c:axId val="163357184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63564928"/>
        <c:crosses val="autoZero"/>
        <c:auto val="1"/>
        <c:lblAlgn val="ctr"/>
        <c:lblOffset val="100"/>
        <c:noMultiLvlLbl val="0"/>
      </c:catAx>
      <c:valAx>
        <c:axId val="16356492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63357184"/>
        <c:crosses val="autoZero"/>
        <c:crossBetween val="between"/>
      </c:valAx>
      <c:spPr>
        <a:gradFill>
          <a:gsLst>
            <a:gs pos="46000">
              <a:schemeClr val="accent1">
                <a:tint val="66000"/>
                <a:satMod val="160000"/>
                <a:alpha val="72000"/>
              </a:schemeClr>
            </a:gs>
            <a:gs pos="77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effectLst>
          <a:innerShdw blurRad="63500" dist="50800" dir="2700000">
            <a:srgbClr val="002060">
              <a:alpha val="50000"/>
            </a:srgbClr>
          </a:inn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dPt>
            <c:idx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  <a:effectLst>
                <a:innerShdw blurRad="63500" dist="50800" dir="2700000">
                  <a:schemeClr val="tx1">
                    <a:lumMod val="95000"/>
                    <a:lumOff val="5000"/>
                    <a:alpha val="50000"/>
                  </a:schemeClr>
                </a:inn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effectLst>
                <a:innerShdw blurRad="63500" dist="50800" dir="2700000">
                  <a:schemeClr val="tx1">
                    <a:lumMod val="95000"/>
                    <a:lumOff val="5000"/>
                    <a:alpha val="50000"/>
                  </a:schemeClr>
                </a:innerShdw>
              </a:effectLst>
            </c:spPr>
          </c:dPt>
          <c:dPt>
            <c:idx val="2"/>
            <c:bubble3D val="0"/>
            <c:spPr>
              <a:solidFill>
                <a:schemeClr val="accent3">
                  <a:lumMod val="75000"/>
                </a:schemeClr>
              </a:solidFill>
              <a:effectLst>
                <a:innerShdw blurRad="63500" dist="50800" dir="2700000">
                  <a:schemeClr val="tx1">
                    <a:lumMod val="95000"/>
                    <a:lumOff val="5000"/>
                    <a:alpha val="50000"/>
                  </a:schemeClr>
                </a:innerShdw>
              </a:effectLst>
            </c:spPr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effectLst>
                <a:innerShdw blurRad="63500" dist="50800" dir="2700000">
                  <a:schemeClr val="tx1">
                    <a:lumMod val="95000"/>
                    <a:lumOff val="5000"/>
                    <a:alpha val="50000"/>
                  </a:schemeClr>
                </a:innerShdw>
              </a:effectLst>
            </c:spPr>
          </c:dPt>
          <c:dPt>
            <c:idx val="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effectLst>
                <a:innerShdw blurRad="63500" dist="50800" dir="2700000">
                  <a:schemeClr val="tx1">
                    <a:lumMod val="95000"/>
                    <a:lumOff val="5000"/>
                    <a:alpha val="50000"/>
                  </a:schemeClr>
                </a:innerShdw>
              </a:effectLst>
            </c:spPr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effectLst>
                <a:innerShdw blurRad="63500" dist="50800" dir="2700000">
                  <a:schemeClr val="tx1">
                    <a:lumMod val="95000"/>
                    <a:lumOff val="5000"/>
                    <a:alpha val="50000"/>
                  </a:schemeClr>
                </a:innerShdw>
              </a:effectLst>
            </c:spPr>
          </c:dPt>
          <c:dPt>
            <c:idx val="6"/>
            <c:bubble3D val="0"/>
            <c:spPr>
              <a:solidFill>
                <a:schemeClr val="bg1"/>
              </a:solidFill>
              <a:effectLst>
                <a:innerShdw blurRad="63500" dist="50800" dir="2700000">
                  <a:schemeClr val="tx1">
                    <a:lumMod val="95000"/>
                    <a:lumOff val="5000"/>
                    <a:alpha val="50000"/>
                  </a:schemeClr>
                </a:innerShdw>
              </a:effectLst>
            </c:spPr>
          </c:dPt>
          <c:cat>
            <c:strRef>
              <c:f>('WEEK SUMMARY'!$D$7,'WEEK SUMMARY'!$G$7,'WEEK SUMMARY'!$J$7,'WEEK SUMMARY'!$M$7,'WEEK SUMMARY'!$P$7,'WEEK SUMMARY'!$S$7,'WEEK SUMMARY'!$V$7)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('WEEK SUMMARY'!$D$9,'WEEK SUMMARY'!$G$9,'WEEK SUMMARY'!$J$9,'WEEK SUMMARY'!$M$9,'WEEK SUMMARY'!$P$9,'WEEK SUMMARY'!$S$9,'WEEK SUMMARY'!$V$9)</c:f>
              <c:numCache>
                <c:formatCode>#,##0.00</c:formatCode>
                <c:ptCount val="7"/>
                <c:pt idx="0">
                  <c:v>8</c:v>
                </c:pt>
                <c:pt idx="1">
                  <c:v>8</c:v>
                </c:pt>
                <c:pt idx="2">
                  <c:v>8.5</c:v>
                </c:pt>
                <c:pt idx="3">
                  <c:v>5</c:v>
                </c:pt>
                <c:pt idx="4">
                  <c:v>7</c:v>
                </c:pt>
                <c:pt idx="5">
                  <c:v>0.5</c:v>
                </c:pt>
                <c:pt idx="6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2796498954579828"/>
          <c:h val="0.88511144656140783"/>
        </c:manualLayout>
      </c:layout>
      <c:overlay val="0"/>
      <c:spPr>
        <a:noFill/>
      </c:spPr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3">
                <a:lumMod val="75000"/>
              </a:schemeClr>
            </a:solidFill>
            <a:effectLst>
              <a:innerShdw blurRad="63500" dist="50800" dir="2700000">
                <a:schemeClr val="accent3">
                  <a:lumMod val="50000"/>
                  <a:alpha val="50000"/>
                </a:schemeClr>
              </a:innerShdw>
            </a:effectLst>
          </c:spPr>
          <c:invertIfNegative val="0"/>
          <c:cat>
            <c:strRef>
              <c:f>'WEEK SUMMARY'!$C$47:$C$54</c:f>
              <c:strCache>
                <c:ptCount val="8"/>
                <c:pt idx="0">
                  <c:v>BD</c:v>
                </c:pt>
                <c:pt idx="1">
                  <c:v>DI</c:v>
                </c:pt>
                <c:pt idx="2">
                  <c:v>DQ</c:v>
                </c:pt>
                <c:pt idx="3">
                  <c:v>ESB</c:v>
                </c:pt>
                <c:pt idx="4">
                  <c:v>MDB</c:v>
                </c:pt>
                <c:pt idx="5">
                  <c:v>MDM</c:v>
                </c:pt>
                <c:pt idx="6">
                  <c:v>TDM</c:v>
                </c:pt>
                <c:pt idx="7">
                  <c:v>TIC</c:v>
                </c:pt>
              </c:strCache>
            </c:strRef>
          </c:cat>
          <c:val>
            <c:numRef>
              <c:f>'WEEK SUMMARY'!$D$47:$D$54</c:f>
              <c:numCache>
                <c:formatCode>#,##0.00</c:formatCode>
                <c:ptCount val="8"/>
                <c:pt idx="0">
                  <c:v>6</c:v>
                </c:pt>
                <c:pt idx="1">
                  <c:v>18.5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358720"/>
        <c:axId val="163095104"/>
      </c:barChart>
      <c:catAx>
        <c:axId val="163358720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163095104"/>
        <c:crosses val="autoZero"/>
        <c:auto val="1"/>
        <c:lblAlgn val="ctr"/>
        <c:lblOffset val="100"/>
        <c:noMultiLvlLbl val="0"/>
      </c:catAx>
      <c:valAx>
        <c:axId val="16309510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63358720"/>
        <c:crosses val="autoZero"/>
        <c:crossBetween val="between"/>
      </c:valAx>
      <c:spPr>
        <a:gradFill>
          <a:gsLst>
            <a:gs pos="46000">
              <a:schemeClr val="accent1">
                <a:tint val="66000"/>
                <a:satMod val="160000"/>
                <a:alpha val="72000"/>
              </a:schemeClr>
            </a:gs>
            <a:gs pos="77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effectLst>
          <a:innerShdw blurRad="63500" dist="50800" dir="2700000">
            <a:srgbClr val="002060">
              <a:alpha val="50000"/>
            </a:srgbClr>
          </a:innerShdw>
        </a:effectLst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'WEEK SUMMARY'!$F$63:$F$86</c:f>
              <c:strCache>
                <c:ptCount val="24"/>
                <c:pt idx="0">
                  <c:v>Architecture:Analysis</c:v>
                </c:pt>
                <c:pt idx="1">
                  <c:v>Architecture:Best Practice</c:v>
                </c:pt>
                <c:pt idx="2">
                  <c:v>Architecture:How-To's</c:v>
                </c:pt>
                <c:pt idx="3">
                  <c:v>Architecture:Research</c:v>
                </c:pt>
                <c:pt idx="4">
                  <c:v>Architecture:Review</c:v>
                </c:pt>
                <c:pt idx="5">
                  <c:v>Architecture:When-To's</c:v>
                </c:pt>
                <c:pt idx="6">
                  <c:v>Enablement:Customer Health</c:v>
                </c:pt>
                <c:pt idx="7">
                  <c:v>Enablement:Onboarding</c:v>
                </c:pt>
                <c:pt idx="8">
                  <c:v>Enablement:Kick-Off</c:v>
                </c:pt>
                <c:pt idx="9">
                  <c:v>Engagement:Billable</c:v>
                </c:pt>
                <c:pt idx="10">
                  <c:v>Engagement:Non-Billable</c:v>
                </c:pt>
                <c:pt idx="11">
                  <c:v>Product:Best Practice</c:v>
                </c:pt>
                <c:pt idx="12">
                  <c:v>Product:Demos</c:v>
                </c:pt>
                <c:pt idx="13">
                  <c:v>Product:Feature Requests</c:v>
                </c:pt>
                <c:pt idx="14">
                  <c:v>Product:How-To's</c:v>
                </c:pt>
                <c:pt idx="15">
                  <c:v>Product:Patches</c:v>
                </c:pt>
                <c:pt idx="16">
                  <c:v>Product:Upgrades</c:v>
                </c:pt>
                <c:pt idx="17">
                  <c:v>Product:Where-Are's</c:v>
                </c:pt>
                <c:pt idx="18">
                  <c:v>ORTS:Global Help Queue</c:v>
                </c:pt>
                <c:pt idx="19">
                  <c:v>ORTS:Ticket Followup</c:v>
                </c:pt>
                <c:pt idx="20">
                  <c:v>ORTS:Ticket Review</c:v>
                </c:pt>
                <c:pt idx="21">
                  <c:v>Support:Product Installation</c:v>
                </c:pt>
                <c:pt idx="22">
                  <c:v>Support:Project Migration</c:v>
                </c:pt>
                <c:pt idx="23">
                  <c:v>Support:Version Upgrade</c:v>
                </c:pt>
              </c:strCache>
            </c:strRef>
          </c:cat>
          <c:val>
            <c:numRef>
              <c:f>'WEEK SUMMARY'!$G$63:$G$86</c:f>
              <c:numCache>
                <c:formatCode>#,##0.00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9.5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359232"/>
        <c:axId val="163097408"/>
      </c:barChart>
      <c:catAx>
        <c:axId val="1633592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63097408"/>
        <c:crosses val="autoZero"/>
        <c:auto val="1"/>
        <c:lblAlgn val="ctr"/>
        <c:lblOffset val="100"/>
        <c:tickLblSkip val="1"/>
        <c:noMultiLvlLbl val="0"/>
      </c:catAx>
      <c:valAx>
        <c:axId val="163097408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63359232"/>
        <c:crosses val="autoZero"/>
        <c:crossBetween val="between"/>
      </c:valAx>
      <c:spPr>
        <a:gradFill>
          <a:gsLst>
            <a:gs pos="46000">
              <a:schemeClr val="accent3">
                <a:lumMod val="60000"/>
                <a:lumOff val="40000"/>
              </a:schemeClr>
            </a:gs>
            <a:gs pos="77000">
              <a:schemeClr val="accent3">
                <a:lumMod val="40000"/>
                <a:lumOff val="60000"/>
              </a:schemeClr>
            </a:gs>
            <a:gs pos="100000">
              <a:schemeClr val="accent3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gap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effectLst>
              <a:innerShdw blurRad="63500" dist="50800" dir="2700000">
                <a:schemeClr val="tx1">
                  <a:lumMod val="95000"/>
                  <a:lumOff val="5000"/>
                  <a:alpha val="50000"/>
                </a:schemeClr>
              </a:innerShdw>
            </a:effectLst>
          </c:spPr>
          <c:cat>
            <c:strRef>
              <c:f>'WEEK SUMMARY'!$C$57:$C$60</c:f>
              <c:strCache>
                <c:ptCount val="4"/>
                <c:pt idx="0">
                  <c:v>Customer</c:v>
                </c:pt>
                <c:pt idx="1">
                  <c:v>Internal</c:v>
                </c:pt>
                <c:pt idx="2">
                  <c:v>Training</c:v>
                </c:pt>
                <c:pt idx="3">
                  <c:v>Travel</c:v>
                </c:pt>
              </c:strCache>
            </c:strRef>
          </c:cat>
          <c:val>
            <c:numRef>
              <c:f>'WEEK SUMMARY'!$D$57:$D$60</c:f>
              <c:numCache>
                <c:formatCode>#,##0.00</c:formatCode>
                <c:ptCount val="4"/>
                <c:pt idx="0">
                  <c:v>24.5</c:v>
                </c:pt>
                <c:pt idx="1">
                  <c:v>10.5</c:v>
                </c:pt>
                <c:pt idx="2">
                  <c:v>2</c:v>
                </c:pt>
                <c:pt idx="3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3504672001227103"/>
          <c:y val="7.533604825974137E-2"/>
          <c:w val="0.33461978474281628"/>
          <c:h val="0.59620711473565802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 orientation="landscape" horizontalDpi="-3" verticalDpi="-3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effectLst>
              <a:innerShdw blurRad="63500" dist="50800" dir="2700000">
                <a:srgbClr val="002060">
                  <a:alpha val="50000"/>
                </a:srgbClr>
              </a:innerShdw>
            </a:effectLst>
          </c:spPr>
          <c:invertIfNegative val="0"/>
          <c:cat>
            <c:strRef>
              <c:f>'WEEK SUMMARY'!$F$89:$F$142</c:f>
              <c:strCache>
                <c:ptCount val="54"/>
                <c:pt idx="0">
                  <c:v>WhiteGlove:GE</c:v>
                </c:pt>
                <c:pt idx="1">
                  <c:v>WhiteGlove:Lenovo</c:v>
                </c:pt>
                <c:pt idx="2">
                  <c:v>WhiteGlove:Lincoln  Financial</c:v>
                </c:pt>
                <c:pt idx="3">
                  <c:v>Tier1:Axalta</c:v>
                </c:pt>
                <c:pt idx="4">
                  <c:v>Tier1:American Express</c:v>
                </c:pt>
                <c:pt idx="5">
                  <c:v>Tier1:Bank of America</c:v>
                </c:pt>
                <c:pt idx="6">
                  <c:v>Tier1:Century Link</c:v>
                </c:pt>
                <c:pt idx="7">
                  <c:v>Tier1:Citibank</c:v>
                </c:pt>
                <c:pt idx="8">
                  <c:v>Tier1:Diplomat Pharmacy</c:v>
                </c:pt>
                <c:pt idx="9">
                  <c:v>Tier1:Dominos</c:v>
                </c:pt>
                <c:pt idx="10">
                  <c:v>Tier1:DTN</c:v>
                </c:pt>
                <c:pt idx="11">
                  <c:v>Tier1:GE Company</c:v>
                </c:pt>
                <c:pt idx="12">
                  <c:v>Tier1:GE Corporate</c:v>
                </c:pt>
                <c:pt idx="13">
                  <c:v>Tier1:GE Healthcare</c:v>
                </c:pt>
                <c:pt idx="14">
                  <c:v>Tier1:HomeAway</c:v>
                </c:pt>
                <c:pt idx="15">
                  <c:v>Tier1:Home Depot</c:v>
                </c:pt>
                <c:pt idx="16">
                  <c:v>Tier1:HomeServe</c:v>
                </c:pt>
                <c:pt idx="17">
                  <c:v>Tier1:NBC Universal</c:v>
                </c:pt>
                <c:pt idx="18">
                  <c:v>Tier1:Oxfordshire County Council</c:v>
                </c:pt>
                <c:pt idx="19">
                  <c:v>Tier1:PRGX</c:v>
                </c:pt>
                <c:pt idx="20">
                  <c:v>Tier1:Tractor Supply</c:v>
                </c:pt>
                <c:pt idx="21">
                  <c:v>Tier1:Travelex</c:v>
                </c:pt>
                <c:pt idx="22">
                  <c:v>Tier1:Travis Perkins</c:v>
                </c:pt>
                <c:pt idx="23">
                  <c:v>Tier1:TrueCar</c:v>
                </c:pt>
                <c:pt idx="24">
                  <c:v>Tier1:VISA</c:v>
                </c:pt>
                <c:pt idx="25">
                  <c:v>Tier1:Vubiquity</c:v>
                </c:pt>
                <c:pt idx="26">
                  <c:v>Tier1:Wallmart</c:v>
                </c:pt>
                <c:pt idx="27">
                  <c:v>Tier2:Autozone/Alldata</c:v>
                </c:pt>
                <c:pt idx="28">
                  <c:v>Tier2:Capital One</c:v>
                </c:pt>
                <c:pt idx="29">
                  <c:v>Tier2:Eastern Bank</c:v>
                </c:pt>
                <c:pt idx="30">
                  <c:v>Tier2:Hess</c:v>
                </c:pt>
                <c:pt idx="31">
                  <c:v>Tier2:HomeOffice</c:v>
                </c:pt>
                <c:pt idx="32">
                  <c:v>Tier2:Mayo Clinic</c:v>
                </c:pt>
                <c:pt idx="33">
                  <c:v>Tier2:SPP</c:v>
                </c:pt>
                <c:pt idx="34">
                  <c:v>Tier2:Staples</c:v>
                </c:pt>
                <c:pt idx="35">
                  <c:v>Tier2:VSP</c:v>
                </c:pt>
                <c:pt idx="36">
                  <c:v>Tier2:Wellington Management</c:v>
                </c:pt>
                <c:pt idx="37">
                  <c:v>Tier3:Cambia Health</c:v>
                </c:pt>
                <c:pt idx="38">
                  <c:v>Tier3:Caxton</c:v>
                </c:pt>
                <c:pt idx="39">
                  <c:v>Tier3:Channel Eyes</c:v>
                </c:pt>
                <c:pt idx="40">
                  <c:v>Tier3:DSTV</c:v>
                </c:pt>
                <c:pt idx="41">
                  <c:v>Tier3:Emesa</c:v>
                </c:pt>
                <c:pt idx="42">
                  <c:v>Tier3:Internet Solutions</c:v>
                </c:pt>
                <c:pt idx="43">
                  <c:v>Tier3:Manitoba Lotteries</c:v>
                </c:pt>
                <c:pt idx="44">
                  <c:v>Tier3:Northrup Grumman</c:v>
                </c:pt>
                <c:pt idx="45">
                  <c:v>Tier3:Save the Children</c:v>
                </c:pt>
                <c:pt idx="46">
                  <c:v>Tier3:Sherwin-Williams</c:v>
                </c:pt>
                <c:pt idx="47">
                  <c:v>Tier3:Teladoc</c:v>
                </c:pt>
                <c:pt idx="48">
                  <c:v>Tier3:VGT</c:v>
                </c:pt>
                <c:pt idx="49">
                  <c:v>Other:Add This Customer</c:v>
                </c:pt>
                <c:pt idx="50">
                  <c:v>Other:Prospect</c:v>
                </c:pt>
                <c:pt idx="51">
                  <c:v>Partner:Rosetta</c:v>
                </c:pt>
                <c:pt idx="52">
                  <c:v>Partner:RSI</c:v>
                </c:pt>
                <c:pt idx="53">
                  <c:v>Partner:Tesch Global</c:v>
                </c:pt>
              </c:strCache>
            </c:strRef>
          </c:cat>
          <c:val>
            <c:numRef>
              <c:f>'WEEK SUMMARY'!$G$89:$G$142</c:f>
              <c:numCache>
                <c:formatCode>#,##0.00</c:formatCode>
                <c:ptCount val="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18.5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360256"/>
        <c:axId val="163099712"/>
      </c:barChart>
      <c:catAx>
        <c:axId val="163360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63099712"/>
        <c:crosses val="autoZero"/>
        <c:auto val="1"/>
        <c:lblAlgn val="ctr"/>
        <c:lblOffset val="100"/>
        <c:tickLblSkip val="1"/>
        <c:noMultiLvlLbl val="0"/>
      </c:catAx>
      <c:valAx>
        <c:axId val="163099712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63360256"/>
        <c:crosses val="autoZero"/>
        <c:crossBetween val="between"/>
      </c:valAx>
      <c:spPr>
        <a:gradFill>
          <a:gsLst>
            <a:gs pos="46000">
              <a:schemeClr val="accent2">
                <a:lumMod val="60000"/>
                <a:lumOff val="40000"/>
              </a:schemeClr>
            </a:gs>
            <a:gs pos="77000">
              <a:schemeClr val="accent2">
                <a:lumMod val="40000"/>
                <a:lumOff val="6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0"/>
        </a:gradFill>
        <a:effectLst>
          <a:innerShdw blurRad="63500" dist="50800" dir="2700000">
            <a:schemeClr val="accent3">
              <a:lumMod val="50000"/>
              <a:alpha val="50000"/>
            </a:schemeClr>
          </a:innerShdw>
        </a:effectLst>
      </c:spPr>
    </c:plotArea>
    <c:plotVisOnly val="1"/>
    <c:dispBlanksAs val="zero"/>
    <c:showDLblsOverMax val="0"/>
  </c:chart>
  <c:spPr>
    <a:noFill/>
    <a:ln>
      <a:noFill/>
    </a:ln>
    <a:effectLst>
      <a:innerShdw blurRad="63500" dist="50800" dir="2700000">
        <a:srgbClr val="002060">
          <a:alpha val="50000"/>
        </a:srgbClr>
      </a:innerShdw>
    </a:effec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image" Target="../media/image3.jpeg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26246</xdr:colOff>
      <xdr:row>2</xdr:row>
      <xdr:rowOff>4232</xdr:rowOff>
    </xdr:from>
    <xdr:to>
      <xdr:col>18</xdr:col>
      <xdr:colOff>1139612</xdr:colOff>
      <xdr:row>10</xdr:row>
      <xdr:rowOff>45720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1135380</xdr:colOff>
      <xdr:row>2</xdr:row>
      <xdr:rowOff>11430</xdr:rowOff>
    </xdr:from>
    <xdr:to>
      <xdr:col>25</xdr:col>
      <xdr:colOff>30480</xdr:colOff>
      <xdr:row>10</xdr:row>
      <xdr:rowOff>45720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2952798</xdr:colOff>
      <xdr:row>1</xdr:row>
      <xdr:rowOff>4266</xdr:rowOff>
    </xdr:from>
    <xdr:to>
      <xdr:col>25</xdr:col>
      <xdr:colOff>1319</xdr:colOff>
      <xdr:row>2</xdr:row>
      <xdr:rowOff>1758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6858" y="103326"/>
          <a:ext cx="1308101" cy="271812"/>
        </a:xfrm>
        <a:prstGeom prst="rect">
          <a:avLst/>
        </a:prstGeom>
      </xdr:spPr>
    </xdr:pic>
    <xdr:clientData/>
  </xdr:twoCellAnchor>
  <xdr:twoCellAnchor>
    <xdr:from>
      <xdr:col>8</xdr:col>
      <xdr:colOff>15240</xdr:colOff>
      <xdr:row>2</xdr:row>
      <xdr:rowOff>11430</xdr:rowOff>
    </xdr:from>
    <xdr:to>
      <xdr:col>14</xdr:col>
      <xdr:colOff>175260</xdr:colOff>
      <xdr:row>10</xdr:row>
      <xdr:rowOff>15240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26246</xdr:colOff>
      <xdr:row>2</xdr:row>
      <xdr:rowOff>4232</xdr:rowOff>
    </xdr:from>
    <xdr:to>
      <xdr:col>18</xdr:col>
      <xdr:colOff>1139612</xdr:colOff>
      <xdr:row>10</xdr:row>
      <xdr:rowOff>45720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1135380</xdr:colOff>
      <xdr:row>2</xdr:row>
      <xdr:rowOff>11430</xdr:rowOff>
    </xdr:from>
    <xdr:to>
      <xdr:col>25</xdr:col>
      <xdr:colOff>30480</xdr:colOff>
      <xdr:row>10</xdr:row>
      <xdr:rowOff>45720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2952798</xdr:colOff>
      <xdr:row>1</xdr:row>
      <xdr:rowOff>4266</xdr:rowOff>
    </xdr:from>
    <xdr:to>
      <xdr:col>25</xdr:col>
      <xdr:colOff>1319</xdr:colOff>
      <xdr:row>2</xdr:row>
      <xdr:rowOff>1758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6858" y="103326"/>
          <a:ext cx="1308101" cy="271812"/>
        </a:xfrm>
        <a:prstGeom prst="rect">
          <a:avLst/>
        </a:prstGeom>
      </xdr:spPr>
    </xdr:pic>
    <xdr:clientData/>
  </xdr:twoCellAnchor>
  <xdr:twoCellAnchor>
    <xdr:from>
      <xdr:col>8</xdr:col>
      <xdr:colOff>15240</xdr:colOff>
      <xdr:row>2</xdr:row>
      <xdr:rowOff>11430</xdr:rowOff>
    </xdr:from>
    <xdr:to>
      <xdr:col>14</xdr:col>
      <xdr:colOff>175260</xdr:colOff>
      <xdr:row>10</xdr:row>
      <xdr:rowOff>15240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26246</xdr:colOff>
      <xdr:row>2</xdr:row>
      <xdr:rowOff>4232</xdr:rowOff>
    </xdr:from>
    <xdr:to>
      <xdr:col>18</xdr:col>
      <xdr:colOff>1139612</xdr:colOff>
      <xdr:row>10</xdr:row>
      <xdr:rowOff>45720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1135380</xdr:colOff>
      <xdr:row>2</xdr:row>
      <xdr:rowOff>11430</xdr:rowOff>
    </xdr:from>
    <xdr:to>
      <xdr:col>25</xdr:col>
      <xdr:colOff>30480</xdr:colOff>
      <xdr:row>10</xdr:row>
      <xdr:rowOff>45720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2952798</xdr:colOff>
      <xdr:row>1</xdr:row>
      <xdr:rowOff>4266</xdr:rowOff>
    </xdr:from>
    <xdr:to>
      <xdr:col>25</xdr:col>
      <xdr:colOff>1319</xdr:colOff>
      <xdr:row>2</xdr:row>
      <xdr:rowOff>1758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6858" y="103326"/>
          <a:ext cx="1308101" cy="271812"/>
        </a:xfrm>
        <a:prstGeom prst="rect">
          <a:avLst/>
        </a:prstGeom>
      </xdr:spPr>
    </xdr:pic>
    <xdr:clientData/>
  </xdr:twoCellAnchor>
  <xdr:twoCellAnchor>
    <xdr:from>
      <xdr:col>8</xdr:col>
      <xdr:colOff>15240</xdr:colOff>
      <xdr:row>2</xdr:row>
      <xdr:rowOff>11430</xdr:rowOff>
    </xdr:from>
    <xdr:to>
      <xdr:col>14</xdr:col>
      <xdr:colOff>175260</xdr:colOff>
      <xdr:row>10</xdr:row>
      <xdr:rowOff>15240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26246</xdr:colOff>
      <xdr:row>2</xdr:row>
      <xdr:rowOff>4232</xdr:rowOff>
    </xdr:from>
    <xdr:to>
      <xdr:col>18</xdr:col>
      <xdr:colOff>1139612</xdr:colOff>
      <xdr:row>10</xdr:row>
      <xdr:rowOff>45720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1135380</xdr:colOff>
      <xdr:row>2</xdr:row>
      <xdr:rowOff>11430</xdr:rowOff>
    </xdr:from>
    <xdr:to>
      <xdr:col>25</xdr:col>
      <xdr:colOff>30480</xdr:colOff>
      <xdr:row>10</xdr:row>
      <xdr:rowOff>45720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2952798</xdr:colOff>
      <xdr:row>1</xdr:row>
      <xdr:rowOff>4266</xdr:rowOff>
    </xdr:from>
    <xdr:to>
      <xdr:col>25</xdr:col>
      <xdr:colOff>1319</xdr:colOff>
      <xdr:row>2</xdr:row>
      <xdr:rowOff>1758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6858" y="103326"/>
          <a:ext cx="1308101" cy="271812"/>
        </a:xfrm>
        <a:prstGeom prst="rect">
          <a:avLst/>
        </a:prstGeom>
      </xdr:spPr>
    </xdr:pic>
    <xdr:clientData/>
  </xdr:twoCellAnchor>
  <xdr:twoCellAnchor>
    <xdr:from>
      <xdr:col>8</xdr:col>
      <xdr:colOff>15240</xdr:colOff>
      <xdr:row>2</xdr:row>
      <xdr:rowOff>11430</xdr:rowOff>
    </xdr:from>
    <xdr:to>
      <xdr:col>14</xdr:col>
      <xdr:colOff>175260</xdr:colOff>
      <xdr:row>10</xdr:row>
      <xdr:rowOff>15240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26246</xdr:colOff>
      <xdr:row>2</xdr:row>
      <xdr:rowOff>4232</xdr:rowOff>
    </xdr:from>
    <xdr:to>
      <xdr:col>18</xdr:col>
      <xdr:colOff>1139612</xdr:colOff>
      <xdr:row>10</xdr:row>
      <xdr:rowOff>45720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1135380</xdr:colOff>
      <xdr:row>2</xdr:row>
      <xdr:rowOff>11430</xdr:rowOff>
    </xdr:from>
    <xdr:to>
      <xdr:col>25</xdr:col>
      <xdr:colOff>30480</xdr:colOff>
      <xdr:row>10</xdr:row>
      <xdr:rowOff>45720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2952798</xdr:colOff>
      <xdr:row>1</xdr:row>
      <xdr:rowOff>4266</xdr:rowOff>
    </xdr:from>
    <xdr:to>
      <xdr:col>25</xdr:col>
      <xdr:colOff>1319</xdr:colOff>
      <xdr:row>2</xdr:row>
      <xdr:rowOff>1758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6858" y="103326"/>
          <a:ext cx="1308101" cy="271812"/>
        </a:xfrm>
        <a:prstGeom prst="rect">
          <a:avLst/>
        </a:prstGeom>
      </xdr:spPr>
    </xdr:pic>
    <xdr:clientData/>
  </xdr:twoCellAnchor>
  <xdr:twoCellAnchor>
    <xdr:from>
      <xdr:col>8</xdr:col>
      <xdr:colOff>15240</xdr:colOff>
      <xdr:row>2</xdr:row>
      <xdr:rowOff>11430</xdr:rowOff>
    </xdr:from>
    <xdr:to>
      <xdr:col>14</xdr:col>
      <xdr:colOff>175260</xdr:colOff>
      <xdr:row>10</xdr:row>
      <xdr:rowOff>15240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26246</xdr:colOff>
      <xdr:row>2</xdr:row>
      <xdr:rowOff>4232</xdr:rowOff>
    </xdr:from>
    <xdr:to>
      <xdr:col>18</xdr:col>
      <xdr:colOff>1139612</xdr:colOff>
      <xdr:row>10</xdr:row>
      <xdr:rowOff>45720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1135380</xdr:colOff>
      <xdr:row>2</xdr:row>
      <xdr:rowOff>11430</xdr:rowOff>
    </xdr:from>
    <xdr:to>
      <xdr:col>25</xdr:col>
      <xdr:colOff>30480</xdr:colOff>
      <xdr:row>10</xdr:row>
      <xdr:rowOff>45720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2952798</xdr:colOff>
      <xdr:row>1</xdr:row>
      <xdr:rowOff>4266</xdr:rowOff>
    </xdr:from>
    <xdr:to>
      <xdr:col>25</xdr:col>
      <xdr:colOff>1319</xdr:colOff>
      <xdr:row>2</xdr:row>
      <xdr:rowOff>1758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6858" y="103326"/>
          <a:ext cx="1308101" cy="271812"/>
        </a:xfrm>
        <a:prstGeom prst="rect">
          <a:avLst/>
        </a:prstGeom>
      </xdr:spPr>
    </xdr:pic>
    <xdr:clientData/>
  </xdr:twoCellAnchor>
  <xdr:twoCellAnchor>
    <xdr:from>
      <xdr:col>8</xdr:col>
      <xdr:colOff>15240</xdr:colOff>
      <xdr:row>2</xdr:row>
      <xdr:rowOff>11430</xdr:rowOff>
    </xdr:from>
    <xdr:to>
      <xdr:col>14</xdr:col>
      <xdr:colOff>175260</xdr:colOff>
      <xdr:row>10</xdr:row>
      <xdr:rowOff>15240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26246</xdr:colOff>
      <xdr:row>2</xdr:row>
      <xdr:rowOff>4232</xdr:rowOff>
    </xdr:from>
    <xdr:to>
      <xdr:col>18</xdr:col>
      <xdr:colOff>1139612</xdr:colOff>
      <xdr:row>10</xdr:row>
      <xdr:rowOff>45720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1135380</xdr:colOff>
      <xdr:row>2</xdr:row>
      <xdr:rowOff>11430</xdr:rowOff>
    </xdr:from>
    <xdr:to>
      <xdr:col>25</xdr:col>
      <xdr:colOff>30480</xdr:colOff>
      <xdr:row>10</xdr:row>
      <xdr:rowOff>45720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2945178</xdr:colOff>
      <xdr:row>1</xdr:row>
      <xdr:rowOff>4266</xdr:rowOff>
    </xdr:from>
    <xdr:to>
      <xdr:col>24</xdr:col>
      <xdr:colOff>732839</xdr:colOff>
      <xdr:row>2</xdr:row>
      <xdr:rowOff>1758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69238" y="103326"/>
          <a:ext cx="1308101" cy="271812"/>
        </a:xfrm>
        <a:prstGeom prst="rect">
          <a:avLst/>
        </a:prstGeom>
      </xdr:spPr>
    </xdr:pic>
    <xdr:clientData/>
  </xdr:twoCellAnchor>
  <xdr:twoCellAnchor>
    <xdr:from>
      <xdr:col>8</xdr:col>
      <xdr:colOff>15240</xdr:colOff>
      <xdr:row>2</xdr:row>
      <xdr:rowOff>11430</xdr:rowOff>
    </xdr:from>
    <xdr:to>
      <xdr:col>14</xdr:col>
      <xdr:colOff>175260</xdr:colOff>
      <xdr:row>10</xdr:row>
      <xdr:rowOff>15240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64818</xdr:colOff>
      <xdr:row>1</xdr:row>
      <xdr:rowOff>4266</xdr:rowOff>
    </xdr:from>
    <xdr:to>
      <xdr:col>32</xdr:col>
      <xdr:colOff>184199</xdr:colOff>
      <xdr:row>2</xdr:row>
      <xdr:rowOff>1758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7258" y="103326"/>
          <a:ext cx="1308101" cy="271812"/>
        </a:xfrm>
        <a:prstGeom prst="rect">
          <a:avLst/>
        </a:prstGeom>
      </xdr:spPr>
    </xdr:pic>
    <xdr:clientData/>
  </xdr:twoCellAnchor>
  <xdr:twoCellAnchor>
    <xdr:from>
      <xdr:col>25</xdr:col>
      <xdr:colOff>22860</xdr:colOff>
      <xdr:row>2</xdr:row>
      <xdr:rowOff>53340</xdr:rowOff>
    </xdr:from>
    <xdr:to>
      <xdr:col>32</xdr:col>
      <xdr:colOff>160020</xdr:colOff>
      <xdr:row>10</xdr:row>
      <xdr:rowOff>175260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76200</xdr:colOff>
      <xdr:row>19</xdr:row>
      <xdr:rowOff>167640</xdr:rowOff>
    </xdr:from>
    <xdr:to>
      <xdr:col>32</xdr:col>
      <xdr:colOff>60960</xdr:colOff>
      <xdr:row>31</xdr:row>
      <xdr:rowOff>160020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</xdr:colOff>
      <xdr:row>10</xdr:row>
      <xdr:rowOff>22860</xdr:rowOff>
    </xdr:from>
    <xdr:to>
      <xdr:col>25</xdr:col>
      <xdr:colOff>175260</xdr:colOff>
      <xdr:row>30</xdr:row>
      <xdr:rowOff>175260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15240</xdr:colOff>
      <xdr:row>10</xdr:row>
      <xdr:rowOff>129540</xdr:rowOff>
    </xdr:from>
    <xdr:to>
      <xdr:col>32</xdr:col>
      <xdr:colOff>45720</xdr:colOff>
      <xdr:row>20</xdr:row>
      <xdr:rowOff>7620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160020</xdr:colOff>
      <xdr:row>10</xdr:row>
      <xdr:rowOff>30480</xdr:rowOff>
    </xdr:from>
    <xdr:to>
      <xdr:col>10</xdr:col>
      <xdr:colOff>182880</xdr:colOff>
      <xdr:row>43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Relationship Id="rId4" Type="http://schemas.openxmlformats.org/officeDocument/2006/relationships/image" Target="../media/image2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P168"/>
  <sheetViews>
    <sheetView zoomScale="90" zoomScaleNormal="90" workbookViewId="0"/>
  </sheetViews>
  <sheetFormatPr defaultRowHeight="14.4" x14ac:dyDescent="0.3"/>
  <cols>
    <col min="1" max="1" width="1.77734375" customWidth="1"/>
    <col min="2" max="2" width="24.77734375" customWidth="1"/>
    <col min="3" max="3" width="1.77734375" customWidth="1"/>
    <col min="4" max="4" width="24.77734375" customWidth="1"/>
    <col min="5" max="5" width="1.77734375" customWidth="1"/>
    <col min="6" max="6" width="24.77734375" customWidth="1"/>
    <col min="7" max="7" width="1.77734375" customWidth="1"/>
    <col min="8" max="8" width="24.77734375" customWidth="1"/>
    <col min="9" max="9" width="1.77734375" customWidth="1"/>
    <col min="10" max="10" width="24.77734375" customWidth="1"/>
    <col min="11" max="11" width="1.77734375" customWidth="1"/>
    <col min="12" max="12" width="24.77734375" customWidth="1"/>
    <col min="13" max="13" width="1.77734375" customWidth="1"/>
    <col min="14" max="14" width="24.77734375" customWidth="1"/>
    <col min="15" max="15" width="1.77734375" customWidth="1"/>
    <col min="16" max="16" width="26.77734375" customWidth="1"/>
  </cols>
  <sheetData>
    <row r="1" spans="2:2" x14ac:dyDescent="0.3">
      <c r="B1" s="1" t="s">
        <v>93</v>
      </c>
    </row>
    <row r="2" spans="2:2" x14ac:dyDescent="0.3">
      <c r="B2" s="2"/>
    </row>
    <row r="5" spans="2:2" x14ac:dyDescent="0.3">
      <c r="B5" s="1" t="s">
        <v>13</v>
      </c>
    </row>
    <row r="6" spans="2:2" x14ac:dyDescent="0.3">
      <c r="B6" s="2"/>
    </row>
    <row r="7" spans="2:2" x14ac:dyDescent="0.3">
      <c r="B7" s="2" t="s">
        <v>1</v>
      </c>
    </row>
    <row r="8" spans="2:2" x14ac:dyDescent="0.3">
      <c r="B8" s="63" t="s">
        <v>2</v>
      </c>
    </row>
    <row r="9" spans="2:2" x14ac:dyDescent="0.3">
      <c r="B9" s="63" t="s">
        <v>298</v>
      </c>
    </row>
    <row r="10" spans="2:2" x14ac:dyDescent="0.3">
      <c r="B10" s="63" t="s">
        <v>303</v>
      </c>
    </row>
    <row r="13" spans="2:2" x14ac:dyDescent="0.3">
      <c r="B13" s="1" t="s">
        <v>84</v>
      </c>
    </row>
    <row r="14" spans="2:2" x14ac:dyDescent="0.3">
      <c r="B14" s="2" t="s">
        <v>85</v>
      </c>
    </row>
    <row r="15" spans="2:2" x14ac:dyDescent="0.3">
      <c r="B15" s="2" t="s">
        <v>86</v>
      </c>
    </row>
    <row r="16" spans="2:2" x14ac:dyDescent="0.3">
      <c r="B16" s="2" t="s">
        <v>87</v>
      </c>
    </row>
    <row r="17" spans="2:12" x14ac:dyDescent="0.3">
      <c r="B17" s="2" t="s">
        <v>88</v>
      </c>
    </row>
    <row r="18" spans="2:12" x14ac:dyDescent="0.3">
      <c r="B18" s="2" t="s">
        <v>89</v>
      </c>
    </row>
    <row r="19" spans="2:12" x14ac:dyDescent="0.3">
      <c r="B19" s="2" t="s">
        <v>90</v>
      </c>
    </row>
    <row r="20" spans="2:12" x14ac:dyDescent="0.3">
      <c r="B20" s="2" t="s">
        <v>91</v>
      </c>
    </row>
    <row r="23" spans="2:12" x14ac:dyDescent="0.3">
      <c r="B23" s="1" t="s">
        <v>14</v>
      </c>
    </row>
    <row r="24" spans="2:12" x14ac:dyDescent="0.3">
      <c r="B24" s="2"/>
    </row>
    <row r="25" spans="2:12" x14ac:dyDescent="0.3">
      <c r="B25" s="2" t="s">
        <v>7</v>
      </c>
    </row>
    <row r="26" spans="2:12" x14ac:dyDescent="0.3">
      <c r="B26" s="2" t="s">
        <v>6</v>
      </c>
    </row>
    <row r="27" spans="2:12" x14ac:dyDescent="0.3">
      <c r="B27" s="2" t="s">
        <v>9</v>
      </c>
    </row>
    <row r="28" spans="2:12" x14ac:dyDescent="0.3">
      <c r="B28" s="2" t="s">
        <v>8</v>
      </c>
    </row>
    <row r="31" spans="2:12" x14ac:dyDescent="0.3">
      <c r="B31" s="1" t="s">
        <v>16</v>
      </c>
      <c r="D31" s="1" t="s">
        <v>79</v>
      </c>
      <c r="F31" s="1" t="s">
        <v>94</v>
      </c>
      <c r="H31" s="1" t="s">
        <v>101</v>
      </c>
      <c r="J31" s="1" t="s">
        <v>110</v>
      </c>
      <c r="L31" s="1" t="s">
        <v>114</v>
      </c>
    </row>
    <row r="32" spans="2:12" x14ac:dyDescent="0.3">
      <c r="B32" s="2"/>
      <c r="D32" s="2"/>
      <c r="F32" s="2"/>
      <c r="H32" s="2"/>
      <c r="J32" s="2"/>
      <c r="L32" s="2"/>
    </row>
    <row r="33" spans="2:12" x14ac:dyDescent="0.3">
      <c r="B33" s="2" t="s">
        <v>17</v>
      </c>
      <c r="D33" s="2" t="s">
        <v>80</v>
      </c>
      <c r="F33" s="2" t="s">
        <v>96</v>
      </c>
      <c r="H33" s="2" t="s">
        <v>164</v>
      </c>
      <c r="J33" s="2" t="s">
        <v>35</v>
      </c>
      <c r="L33" s="2" t="s">
        <v>115</v>
      </c>
    </row>
    <row r="34" spans="2:12" x14ac:dyDescent="0.3">
      <c r="B34" s="2" t="s">
        <v>18</v>
      </c>
      <c r="D34" s="2" t="s">
        <v>81</v>
      </c>
      <c r="F34" s="2" t="s">
        <v>95</v>
      </c>
      <c r="H34" s="63" t="s">
        <v>301</v>
      </c>
      <c r="J34" s="63" t="s">
        <v>111</v>
      </c>
      <c r="L34" s="2" t="s">
        <v>116</v>
      </c>
    </row>
    <row r="35" spans="2:12" x14ac:dyDescent="0.3">
      <c r="B35" s="2" t="s">
        <v>19</v>
      </c>
      <c r="D35" s="2" t="s">
        <v>82</v>
      </c>
      <c r="F35" s="2" t="s">
        <v>97</v>
      </c>
      <c r="H35" s="63" t="s">
        <v>102</v>
      </c>
      <c r="J35" s="63" t="s">
        <v>112</v>
      </c>
      <c r="L35" s="2" t="s">
        <v>117</v>
      </c>
    </row>
    <row r="36" spans="2:12" x14ac:dyDescent="0.3">
      <c r="B36" s="2" t="s">
        <v>20</v>
      </c>
      <c r="D36" s="59" t="s">
        <v>302</v>
      </c>
      <c r="F36" s="2" t="s">
        <v>98</v>
      </c>
      <c r="H36" s="63" t="s">
        <v>103</v>
      </c>
      <c r="J36" s="63" t="s">
        <v>113</v>
      </c>
      <c r="L36" s="2" t="s">
        <v>118</v>
      </c>
    </row>
    <row r="37" spans="2:12" x14ac:dyDescent="0.3">
      <c r="B37" s="2" t="s">
        <v>21</v>
      </c>
      <c r="D37" s="63" t="s">
        <v>105</v>
      </c>
      <c r="F37" s="2" t="s">
        <v>99</v>
      </c>
      <c r="H37" s="63" t="s">
        <v>104</v>
      </c>
      <c r="L37" s="2" t="s">
        <v>279</v>
      </c>
    </row>
    <row r="38" spans="2:12" x14ac:dyDescent="0.3">
      <c r="D38" s="63" t="s">
        <v>23</v>
      </c>
      <c r="F38" s="2" t="s">
        <v>100</v>
      </c>
      <c r="H38" s="63" t="s">
        <v>105</v>
      </c>
      <c r="L38" s="63" t="s">
        <v>119</v>
      </c>
    </row>
    <row r="39" spans="2:12" x14ac:dyDescent="0.3">
      <c r="D39" s="63" t="s">
        <v>83</v>
      </c>
      <c r="H39" s="63" t="s">
        <v>106</v>
      </c>
    </row>
    <row r="40" spans="2:12" x14ac:dyDescent="0.3">
      <c r="D40" s="63" t="s">
        <v>277</v>
      </c>
      <c r="H40" s="63" t="s">
        <v>107</v>
      </c>
    </row>
    <row r="41" spans="2:12" x14ac:dyDescent="0.3">
      <c r="D41" s="63" t="s">
        <v>216</v>
      </c>
      <c r="H41" s="63" t="s">
        <v>108</v>
      </c>
    </row>
    <row r="42" spans="2:12" x14ac:dyDescent="0.3">
      <c r="H42" s="63" t="s">
        <v>109</v>
      </c>
    </row>
    <row r="45" spans="2:12" x14ac:dyDescent="0.3">
      <c r="B45" s="1" t="s">
        <v>22</v>
      </c>
      <c r="D45" s="1" t="s">
        <v>167</v>
      </c>
      <c r="F45" s="1" t="s">
        <v>132</v>
      </c>
    </row>
    <row r="46" spans="2:12" x14ac:dyDescent="0.3">
      <c r="B46" s="2"/>
      <c r="D46" s="2"/>
      <c r="F46" s="2"/>
    </row>
    <row r="47" spans="2:12" x14ac:dyDescent="0.3">
      <c r="B47" s="2" t="s">
        <v>166</v>
      </c>
      <c r="D47" s="2" t="s">
        <v>121</v>
      </c>
      <c r="F47" s="2" t="s">
        <v>133</v>
      </c>
    </row>
    <row r="48" spans="2:12" x14ac:dyDescent="0.3">
      <c r="B48" s="2" t="s">
        <v>78</v>
      </c>
      <c r="D48" s="2" t="s">
        <v>278</v>
      </c>
      <c r="F48" s="2" t="s">
        <v>134</v>
      </c>
    </row>
    <row r="49" spans="4:6" x14ac:dyDescent="0.3">
      <c r="D49" s="59" t="s">
        <v>122</v>
      </c>
      <c r="F49" s="2" t="s">
        <v>141</v>
      </c>
    </row>
    <row r="50" spans="4:6" x14ac:dyDescent="0.3">
      <c r="D50" s="59" t="s">
        <v>123</v>
      </c>
      <c r="F50" s="2" t="s">
        <v>135</v>
      </c>
    </row>
    <row r="51" spans="4:6" x14ac:dyDescent="0.3">
      <c r="D51" s="59" t="s">
        <v>161</v>
      </c>
      <c r="F51" s="2" t="s">
        <v>136</v>
      </c>
    </row>
    <row r="52" spans="4:6" x14ac:dyDescent="0.3">
      <c r="D52" s="59" t="s">
        <v>160</v>
      </c>
      <c r="F52" s="2" t="s">
        <v>137</v>
      </c>
    </row>
    <row r="53" spans="4:6" x14ac:dyDescent="0.3">
      <c r="D53" s="59" t="s">
        <v>162</v>
      </c>
      <c r="F53" s="2" t="s">
        <v>138</v>
      </c>
    </row>
    <row r="54" spans="4:6" x14ac:dyDescent="0.3">
      <c r="D54" s="59" t="s">
        <v>125</v>
      </c>
      <c r="F54" s="2" t="s">
        <v>139</v>
      </c>
    </row>
    <row r="55" spans="4:6" x14ac:dyDescent="0.3">
      <c r="D55" s="59" t="s">
        <v>124</v>
      </c>
      <c r="F55" s="2" t="s">
        <v>140</v>
      </c>
    </row>
    <row r="56" spans="4:6" x14ac:dyDescent="0.3">
      <c r="D56" s="59" t="s">
        <v>126</v>
      </c>
      <c r="F56" s="2" t="s">
        <v>142</v>
      </c>
    </row>
    <row r="57" spans="4:6" x14ac:dyDescent="0.3">
      <c r="D57" s="59" t="s">
        <v>127</v>
      </c>
      <c r="F57" s="2" t="s">
        <v>143</v>
      </c>
    </row>
    <row r="58" spans="4:6" x14ac:dyDescent="0.3">
      <c r="D58" s="59" t="s">
        <v>295</v>
      </c>
      <c r="F58" s="2" t="s">
        <v>144</v>
      </c>
    </row>
    <row r="59" spans="4:6" x14ac:dyDescent="0.3">
      <c r="D59" s="59" t="s">
        <v>128</v>
      </c>
      <c r="F59" s="2" t="s">
        <v>145</v>
      </c>
    </row>
    <row r="60" spans="4:6" x14ac:dyDescent="0.3">
      <c r="D60" s="59" t="s">
        <v>129</v>
      </c>
      <c r="F60" s="2" t="s">
        <v>146</v>
      </c>
    </row>
    <row r="61" spans="4:6" x14ac:dyDescent="0.3">
      <c r="D61" s="59" t="s">
        <v>130</v>
      </c>
      <c r="F61" s="2" t="s">
        <v>147</v>
      </c>
    </row>
    <row r="62" spans="4:6" x14ac:dyDescent="0.3">
      <c r="D62" s="59" t="s">
        <v>131</v>
      </c>
      <c r="F62" s="2" t="s">
        <v>148</v>
      </c>
    </row>
    <row r="63" spans="4:6" x14ac:dyDescent="0.3">
      <c r="D63" s="59" t="s">
        <v>206</v>
      </c>
      <c r="F63" s="2" t="s">
        <v>149</v>
      </c>
    </row>
    <row r="64" spans="4:6" x14ac:dyDescent="0.3">
      <c r="F64" s="2" t="s">
        <v>150</v>
      </c>
    </row>
    <row r="65" spans="2:8" x14ac:dyDescent="0.3">
      <c r="F65" s="2" t="s">
        <v>151</v>
      </c>
    </row>
    <row r="66" spans="2:8" x14ac:dyDescent="0.3">
      <c r="F66" s="2" t="s">
        <v>152</v>
      </c>
    </row>
    <row r="67" spans="2:8" x14ac:dyDescent="0.3">
      <c r="F67" s="2" t="s">
        <v>153</v>
      </c>
    </row>
    <row r="68" spans="2:8" x14ac:dyDescent="0.3">
      <c r="F68" s="2" t="s">
        <v>154</v>
      </c>
    </row>
    <row r="69" spans="2:8" x14ac:dyDescent="0.3">
      <c r="F69" s="2" t="s">
        <v>155</v>
      </c>
    </row>
    <row r="70" spans="2:8" x14ac:dyDescent="0.3">
      <c r="F70" s="2" t="s">
        <v>156</v>
      </c>
    </row>
    <row r="71" spans="2:8" x14ac:dyDescent="0.3">
      <c r="F71" s="2" t="s">
        <v>157</v>
      </c>
    </row>
    <row r="72" spans="2:8" x14ac:dyDescent="0.3">
      <c r="F72" s="2" t="s">
        <v>158</v>
      </c>
    </row>
    <row r="73" spans="2:8" x14ac:dyDescent="0.3">
      <c r="F73" s="2" t="s">
        <v>159</v>
      </c>
    </row>
    <row r="76" spans="2:8" x14ac:dyDescent="0.3">
      <c r="B76" s="1" t="s">
        <v>26</v>
      </c>
      <c r="D76" s="1" t="s">
        <v>172</v>
      </c>
      <c r="F76" s="1" t="s">
        <v>173</v>
      </c>
      <c r="H76" s="1" t="s">
        <v>178</v>
      </c>
    </row>
    <row r="77" spans="2:8" x14ac:dyDescent="0.3">
      <c r="B77" s="2"/>
      <c r="D77" s="2"/>
      <c r="F77" s="2"/>
      <c r="H77" s="2"/>
    </row>
    <row r="78" spans="2:8" x14ac:dyDescent="0.3">
      <c r="B78" s="2" t="s">
        <v>168</v>
      </c>
      <c r="D78" s="2" t="s">
        <v>170</v>
      </c>
      <c r="F78" s="2" t="s">
        <v>166</v>
      </c>
      <c r="H78" s="2" t="s">
        <v>174</v>
      </c>
    </row>
    <row r="79" spans="2:8" x14ac:dyDescent="0.3">
      <c r="B79" s="2" t="s">
        <v>169</v>
      </c>
      <c r="D79" s="2" t="s">
        <v>171</v>
      </c>
      <c r="F79" s="2" t="s">
        <v>108</v>
      </c>
      <c r="H79" s="2" t="s">
        <v>296</v>
      </c>
    </row>
    <row r="80" spans="2:8" x14ac:dyDescent="0.3">
      <c r="B80" s="2" t="s">
        <v>179</v>
      </c>
      <c r="H80" s="63" t="s">
        <v>175</v>
      </c>
    </row>
    <row r="81" spans="2:16" x14ac:dyDescent="0.3">
      <c r="H81" s="63" t="s">
        <v>176</v>
      </c>
    </row>
    <row r="82" spans="2:16" x14ac:dyDescent="0.3">
      <c r="H82" s="63" t="s">
        <v>177</v>
      </c>
    </row>
    <row r="85" spans="2:16" x14ac:dyDescent="0.3">
      <c r="B85" s="1" t="s">
        <v>163</v>
      </c>
      <c r="D85" s="1" t="s">
        <v>180</v>
      </c>
      <c r="F85" s="1" t="s">
        <v>193</v>
      </c>
      <c r="H85" s="1" t="s">
        <v>194</v>
      </c>
      <c r="J85" s="1" t="s">
        <v>120</v>
      </c>
      <c r="L85" s="1" t="s">
        <v>189</v>
      </c>
      <c r="N85" s="1" t="s">
        <v>212</v>
      </c>
      <c r="P85" s="1" t="s">
        <v>276</v>
      </c>
    </row>
    <row r="86" spans="2:16" x14ac:dyDescent="0.3">
      <c r="B86" s="2"/>
      <c r="D86" s="2"/>
      <c r="F86" s="2"/>
      <c r="H86" s="2"/>
      <c r="J86" s="2"/>
      <c r="L86" s="2"/>
      <c r="N86" s="2"/>
      <c r="P86" s="2"/>
    </row>
    <row r="87" spans="2:16" x14ac:dyDescent="0.3">
      <c r="B87" s="2" t="s">
        <v>164</v>
      </c>
      <c r="D87" s="2" t="s">
        <v>184</v>
      </c>
      <c r="F87" s="2" t="s">
        <v>187</v>
      </c>
      <c r="H87" s="2" t="s">
        <v>195</v>
      </c>
      <c r="J87" s="2" t="s">
        <v>185</v>
      </c>
      <c r="L87" s="2" t="s">
        <v>190</v>
      </c>
      <c r="N87" s="2" t="s">
        <v>213</v>
      </c>
      <c r="P87" s="2" t="s">
        <v>253</v>
      </c>
    </row>
    <row r="88" spans="2:16" x14ac:dyDescent="0.3">
      <c r="B88" s="2" t="s">
        <v>25</v>
      </c>
      <c r="D88" s="2" t="s">
        <v>185</v>
      </c>
      <c r="F88" s="2" t="s">
        <v>104</v>
      </c>
      <c r="H88" s="2" t="s">
        <v>196</v>
      </c>
      <c r="J88" s="2" t="s">
        <v>200</v>
      </c>
      <c r="L88" s="2" t="s">
        <v>192</v>
      </c>
      <c r="N88" s="2" t="s">
        <v>215</v>
      </c>
      <c r="P88" s="2" t="s">
        <v>254</v>
      </c>
    </row>
    <row r="89" spans="2:16" x14ac:dyDescent="0.3">
      <c r="B89" s="2" t="s">
        <v>24</v>
      </c>
      <c r="D89" s="2" t="s">
        <v>181</v>
      </c>
      <c r="F89" s="2" t="s">
        <v>188</v>
      </c>
      <c r="J89" s="2" t="s">
        <v>197</v>
      </c>
      <c r="L89" s="2" t="s">
        <v>191</v>
      </c>
      <c r="N89" s="2" t="s">
        <v>214</v>
      </c>
      <c r="P89" s="2" t="s">
        <v>255</v>
      </c>
    </row>
    <row r="90" spans="2:16" x14ac:dyDescent="0.3">
      <c r="B90" s="2" t="s">
        <v>23</v>
      </c>
      <c r="D90" s="2" t="s">
        <v>279</v>
      </c>
      <c r="J90" s="2" t="s">
        <v>181</v>
      </c>
      <c r="P90" s="2" t="s">
        <v>297</v>
      </c>
    </row>
    <row r="91" spans="2:16" x14ac:dyDescent="0.3">
      <c r="B91" s="2" t="s">
        <v>165</v>
      </c>
      <c r="D91" s="2" t="s">
        <v>186</v>
      </c>
      <c r="J91" s="2" t="s">
        <v>198</v>
      </c>
      <c r="P91" s="2" t="s">
        <v>256</v>
      </c>
    </row>
    <row r="92" spans="2:16" x14ac:dyDescent="0.3">
      <c r="B92" s="2" t="s">
        <v>211</v>
      </c>
      <c r="D92" s="63" t="s">
        <v>182</v>
      </c>
      <c r="J92" s="2" t="s">
        <v>199</v>
      </c>
      <c r="P92" s="63" t="s">
        <v>257</v>
      </c>
    </row>
    <row r="93" spans="2:16" x14ac:dyDescent="0.3">
      <c r="J93" s="2" t="s">
        <v>183</v>
      </c>
      <c r="P93" s="63" t="s">
        <v>258</v>
      </c>
    </row>
    <row r="94" spans="2:16" x14ac:dyDescent="0.3">
      <c r="P94" s="63" t="s">
        <v>259</v>
      </c>
    </row>
    <row r="95" spans="2:16" x14ac:dyDescent="0.3">
      <c r="P95" s="63" t="s">
        <v>260</v>
      </c>
    </row>
    <row r="96" spans="2:16" x14ac:dyDescent="0.3">
      <c r="B96" s="1" t="s">
        <v>205</v>
      </c>
      <c r="P96" s="63" t="s">
        <v>261</v>
      </c>
    </row>
    <row r="97" spans="2:16" x14ac:dyDescent="0.3">
      <c r="B97" s="2"/>
      <c r="P97" s="63" t="s">
        <v>262</v>
      </c>
    </row>
    <row r="98" spans="2:16" x14ac:dyDescent="0.3">
      <c r="B98" s="2" t="s">
        <v>204</v>
      </c>
      <c r="P98" s="63" t="s">
        <v>263</v>
      </c>
    </row>
    <row r="99" spans="2:16" x14ac:dyDescent="0.3">
      <c r="B99" s="2" t="s">
        <v>278</v>
      </c>
      <c r="P99" s="63" t="s">
        <v>264</v>
      </c>
    </row>
    <row r="100" spans="2:16" x14ac:dyDescent="0.3">
      <c r="B100" s="59" t="s">
        <v>202</v>
      </c>
      <c r="P100" s="63" t="s">
        <v>265</v>
      </c>
    </row>
    <row r="101" spans="2:16" x14ac:dyDescent="0.3">
      <c r="B101" s="59" t="s">
        <v>203</v>
      </c>
      <c r="P101" s="63" t="s">
        <v>266</v>
      </c>
    </row>
    <row r="102" spans="2:16" x14ac:dyDescent="0.3">
      <c r="B102" s="59" t="s">
        <v>162</v>
      </c>
      <c r="P102" s="63" t="s">
        <v>267</v>
      </c>
    </row>
    <row r="103" spans="2:16" x14ac:dyDescent="0.3">
      <c r="B103" s="59" t="s">
        <v>295</v>
      </c>
      <c r="P103" s="63" t="s">
        <v>268</v>
      </c>
    </row>
    <row r="104" spans="2:16" x14ac:dyDescent="0.3">
      <c r="B104" s="59" t="s">
        <v>127</v>
      </c>
      <c r="P104" s="63" t="s">
        <v>269</v>
      </c>
    </row>
    <row r="105" spans="2:16" x14ac:dyDescent="0.3">
      <c r="B105" s="59" t="s">
        <v>131</v>
      </c>
      <c r="P105" s="63" t="s">
        <v>270</v>
      </c>
    </row>
    <row r="106" spans="2:16" x14ac:dyDescent="0.3">
      <c r="B106" s="63" t="s">
        <v>206</v>
      </c>
      <c r="P106" s="63" t="s">
        <v>271</v>
      </c>
    </row>
    <row r="107" spans="2:16" x14ac:dyDescent="0.3">
      <c r="B107" s="63" t="s">
        <v>207</v>
      </c>
      <c r="P107" s="63" t="s">
        <v>272</v>
      </c>
    </row>
    <row r="108" spans="2:16" x14ac:dyDescent="0.3">
      <c r="B108" s="63" t="s">
        <v>129</v>
      </c>
      <c r="P108" s="63" t="s">
        <v>273</v>
      </c>
    </row>
    <row r="109" spans="2:16" x14ac:dyDescent="0.3">
      <c r="P109" s="63" t="s">
        <v>274</v>
      </c>
    </row>
    <row r="110" spans="2:16" x14ac:dyDescent="0.3">
      <c r="P110" s="63" t="s">
        <v>275</v>
      </c>
    </row>
    <row r="113" spans="2:16" x14ac:dyDescent="0.3">
      <c r="B113" s="1" t="s">
        <v>15</v>
      </c>
      <c r="D113" s="1" t="s">
        <v>36</v>
      </c>
      <c r="F113" s="1" t="s">
        <v>37</v>
      </c>
      <c r="H113" s="1" t="s">
        <v>57</v>
      </c>
      <c r="J113" s="1" t="s">
        <v>63</v>
      </c>
      <c r="L113" s="1" t="s">
        <v>72</v>
      </c>
      <c r="N113" s="1" t="s">
        <v>220</v>
      </c>
      <c r="P113" s="62" t="s">
        <v>284</v>
      </c>
    </row>
    <row r="114" spans="2:16" x14ac:dyDescent="0.3">
      <c r="B114" s="2"/>
      <c r="D114" s="2"/>
      <c r="F114" s="2"/>
      <c r="H114" s="2"/>
      <c r="J114" s="2"/>
      <c r="L114" s="2"/>
      <c r="N114" s="2"/>
      <c r="P114" s="63"/>
    </row>
    <row r="115" spans="2:16" x14ac:dyDescent="0.3">
      <c r="B115" s="2" t="s">
        <v>31</v>
      </c>
      <c r="D115" s="2" t="s">
        <v>290</v>
      </c>
      <c r="F115" s="2" t="s">
        <v>38</v>
      </c>
      <c r="H115" s="2" t="s">
        <v>320</v>
      </c>
      <c r="J115" s="63" t="s">
        <v>208</v>
      </c>
      <c r="L115" s="2" t="s">
        <v>293</v>
      </c>
      <c r="N115" s="2" t="s">
        <v>291</v>
      </c>
      <c r="P115" s="63" t="s">
        <v>318</v>
      </c>
    </row>
    <row r="116" spans="2:16" x14ac:dyDescent="0.3">
      <c r="B116" s="2" t="s">
        <v>32</v>
      </c>
      <c r="D116" s="63" t="s">
        <v>30</v>
      </c>
      <c r="F116" s="2" t="s">
        <v>39</v>
      </c>
      <c r="H116" s="63" t="s">
        <v>58</v>
      </c>
      <c r="J116" s="63" t="s">
        <v>73</v>
      </c>
      <c r="L116" s="63" t="s">
        <v>310</v>
      </c>
      <c r="N116" s="63" t="s">
        <v>221</v>
      </c>
      <c r="P116" s="63" t="s">
        <v>74</v>
      </c>
    </row>
    <row r="117" spans="2:16" x14ac:dyDescent="0.3">
      <c r="B117" s="2" t="s">
        <v>33</v>
      </c>
      <c r="D117" s="63" t="s">
        <v>280</v>
      </c>
      <c r="F117" s="2" t="s">
        <v>40</v>
      </c>
      <c r="H117" s="63" t="s">
        <v>304</v>
      </c>
      <c r="J117" s="63" t="s">
        <v>287</v>
      </c>
      <c r="N117" s="63" t="s">
        <v>281</v>
      </c>
      <c r="P117" s="63" t="s">
        <v>76</v>
      </c>
    </row>
    <row r="118" spans="2:16" x14ac:dyDescent="0.3">
      <c r="B118" s="2" t="s">
        <v>34</v>
      </c>
      <c r="F118" s="2" t="s">
        <v>41</v>
      </c>
      <c r="H118" s="63" t="s">
        <v>62</v>
      </c>
      <c r="J118" s="63" t="s">
        <v>64</v>
      </c>
      <c r="N118" s="63" t="s">
        <v>222</v>
      </c>
    </row>
    <row r="119" spans="2:16" x14ac:dyDescent="0.3">
      <c r="B119" s="2" t="s">
        <v>35</v>
      </c>
      <c r="F119" s="2" t="s">
        <v>42</v>
      </c>
      <c r="H119" s="63" t="s">
        <v>59</v>
      </c>
      <c r="J119" s="63" t="s">
        <v>65</v>
      </c>
      <c r="N119" s="63" t="s">
        <v>223</v>
      </c>
    </row>
    <row r="120" spans="2:16" x14ac:dyDescent="0.3">
      <c r="B120" s="61" t="s">
        <v>284</v>
      </c>
      <c r="F120" s="2" t="s">
        <v>308</v>
      </c>
      <c r="H120" s="63" t="s">
        <v>316</v>
      </c>
      <c r="J120" s="63" t="s">
        <v>66</v>
      </c>
      <c r="N120" s="63" t="s">
        <v>224</v>
      </c>
    </row>
    <row r="121" spans="2:16" x14ac:dyDescent="0.3">
      <c r="F121" s="63" t="s">
        <v>306</v>
      </c>
      <c r="H121" s="63" t="s">
        <v>60</v>
      </c>
      <c r="J121" s="63" t="s">
        <v>67</v>
      </c>
      <c r="N121" s="63" t="s">
        <v>225</v>
      </c>
    </row>
    <row r="122" spans="2:16" x14ac:dyDescent="0.3">
      <c r="F122" s="63" t="s">
        <v>324</v>
      </c>
      <c r="H122" s="63" t="s">
        <v>323</v>
      </c>
      <c r="J122" s="63" t="s">
        <v>68</v>
      </c>
      <c r="N122" s="63" t="s">
        <v>226</v>
      </c>
    </row>
    <row r="123" spans="2:16" x14ac:dyDescent="0.3">
      <c r="F123" s="63" t="s">
        <v>43</v>
      </c>
      <c r="H123" s="63" t="s">
        <v>77</v>
      </c>
      <c r="J123" s="63" t="s">
        <v>69</v>
      </c>
      <c r="N123" s="63" t="s">
        <v>309</v>
      </c>
    </row>
    <row r="124" spans="2:16" x14ac:dyDescent="0.3">
      <c r="F124" s="63" t="s">
        <v>44</v>
      </c>
      <c r="H124" s="63" t="s">
        <v>61</v>
      </c>
      <c r="J124" s="63" t="s">
        <v>70</v>
      </c>
      <c r="N124" s="63" t="s">
        <v>307</v>
      </c>
    </row>
    <row r="125" spans="2:16" x14ac:dyDescent="0.3">
      <c r="F125" s="63" t="s">
        <v>45</v>
      </c>
      <c r="J125" s="63" t="s">
        <v>75</v>
      </c>
      <c r="N125" s="63" t="s">
        <v>325</v>
      </c>
    </row>
    <row r="126" spans="2:16" x14ac:dyDescent="0.3">
      <c r="F126" s="63" t="s">
        <v>46</v>
      </c>
      <c r="J126" s="63" t="s">
        <v>71</v>
      </c>
      <c r="N126" s="63" t="s">
        <v>227</v>
      </c>
    </row>
    <row r="127" spans="2:16" x14ac:dyDescent="0.3">
      <c r="F127" s="63" t="s">
        <v>47</v>
      </c>
      <c r="N127" s="63" t="s">
        <v>228</v>
      </c>
    </row>
    <row r="128" spans="2:16" x14ac:dyDescent="0.3">
      <c r="F128" s="63" t="s">
        <v>48</v>
      </c>
      <c r="N128" s="63" t="s">
        <v>229</v>
      </c>
    </row>
    <row r="129" spans="6:14" x14ac:dyDescent="0.3">
      <c r="F129" s="63" t="s">
        <v>299</v>
      </c>
      <c r="N129" s="63" t="s">
        <v>230</v>
      </c>
    </row>
    <row r="130" spans="6:14" x14ac:dyDescent="0.3">
      <c r="F130" s="63" t="s">
        <v>49</v>
      </c>
      <c r="N130" s="63" t="s">
        <v>231</v>
      </c>
    </row>
    <row r="131" spans="6:14" x14ac:dyDescent="0.3">
      <c r="F131" s="63" t="s">
        <v>50</v>
      </c>
      <c r="N131" s="63" t="s">
        <v>232</v>
      </c>
    </row>
    <row r="132" spans="6:14" x14ac:dyDescent="0.3">
      <c r="F132" s="63" t="s">
        <v>289</v>
      </c>
      <c r="N132" s="63" t="s">
        <v>300</v>
      </c>
    </row>
    <row r="133" spans="6:14" x14ac:dyDescent="0.3">
      <c r="F133" s="63" t="s">
        <v>51</v>
      </c>
      <c r="N133" s="63" t="s">
        <v>286</v>
      </c>
    </row>
    <row r="134" spans="6:14" x14ac:dyDescent="0.3">
      <c r="F134" s="63" t="s">
        <v>52</v>
      </c>
      <c r="N134" s="63" t="s">
        <v>233</v>
      </c>
    </row>
    <row r="135" spans="6:14" x14ac:dyDescent="0.3">
      <c r="F135" s="63" t="s">
        <v>53</v>
      </c>
      <c r="N135" s="63" t="s">
        <v>292</v>
      </c>
    </row>
    <row r="136" spans="6:14" x14ac:dyDescent="0.3">
      <c r="F136" s="63" t="s">
        <v>54</v>
      </c>
      <c r="N136" s="63" t="s">
        <v>234</v>
      </c>
    </row>
    <row r="137" spans="6:14" x14ac:dyDescent="0.3">
      <c r="F137" s="63" t="s">
        <v>55</v>
      </c>
      <c r="N137" s="63" t="s">
        <v>235</v>
      </c>
    </row>
    <row r="138" spans="6:14" x14ac:dyDescent="0.3">
      <c r="F138" s="63" t="s">
        <v>56</v>
      </c>
      <c r="N138" s="63" t="s">
        <v>236</v>
      </c>
    </row>
    <row r="139" spans="6:14" x14ac:dyDescent="0.3">
      <c r="N139" s="63" t="s">
        <v>237</v>
      </c>
    </row>
    <row r="140" spans="6:14" x14ac:dyDescent="0.3">
      <c r="N140" s="63" t="s">
        <v>238</v>
      </c>
    </row>
    <row r="141" spans="6:14" x14ac:dyDescent="0.3">
      <c r="N141" s="63" t="s">
        <v>239</v>
      </c>
    </row>
    <row r="142" spans="6:14" x14ac:dyDescent="0.3">
      <c r="N142" s="63" t="s">
        <v>321</v>
      </c>
    </row>
    <row r="143" spans="6:14" x14ac:dyDescent="0.3">
      <c r="N143" s="63" t="s">
        <v>240</v>
      </c>
    </row>
    <row r="144" spans="6:14" x14ac:dyDescent="0.3">
      <c r="N144" s="63" t="s">
        <v>305</v>
      </c>
    </row>
    <row r="145" spans="14:14" x14ac:dyDescent="0.3">
      <c r="N145" s="63" t="s">
        <v>244</v>
      </c>
    </row>
    <row r="146" spans="14:14" x14ac:dyDescent="0.3">
      <c r="N146" s="63" t="s">
        <v>241</v>
      </c>
    </row>
    <row r="147" spans="14:14" x14ac:dyDescent="0.3">
      <c r="N147" s="63" t="s">
        <v>317</v>
      </c>
    </row>
    <row r="148" spans="14:14" x14ac:dyDescent="0.3">
      <c r="N148" s="63" t="s">
        <v>242</v>
      </c>
    </row>
    <row r="149" spans="14:14" x14ac:dyDescent="0.3">
      <c r="N149" s="63" t="s">
        <v>322</v>
      </c>
    </row>
    <row r="150" spans="14:14" x14ac:dyDescent="0.3">
      <c r="N150" s="63" t="s">
        <v>311</v>
      </c>
    </row>
    <row r="151" spans="14:14" x14ac:dyDescent="0.3">
      <c r="N151" s="63" t="s">
        <v>243</v>
      </c>
    </row>
    <row r="152" spans="14:14" x14ac:dyDescent="0.3">
      <c r="N152" s="63" t="s">
        <v>312</v>
      </c>
    </row>
    <row r="153" spans="14:14" x14ac:dyDescent="0.3">
      <c r="N153" s="63" t="s">
        <v>313</v>
      </c>
    </row>
    <row r="154" spans="14:14" x14ac:dyDescent="0.3">
      <c r="N154" s="63" t="s">
        <v>288</v>
      </c>
    </row>
    <row r="155" spans="14:14" x14ac:dyDescent="0.3">
      <c r="N155" s="63" t="s">
        <v>245</v>
      </c>
    </row>
    <row r="156" spans="14:14" x14ac:dyDescent="0.3">
      <c r="N156" s="63" t="s">
        <v>246</v>
      </c>
    </row>
    <row r="157" spans="14:14" x14ac:dyDescent="0.3">
      <c r="N157" s="63" t="s">
        <v>247</v>
      </c>
    </row>
    <row r="158" spans="14:14" x14ac:dyDescent="0.3">
      <c r="N158" s="63" t="s">
        <v>248</v>
      </c>
    </row>
    <row r="159" spans="14:14" x14ac:dyDescent="0.3">
      <c r="N159" s="63" t="s">
        <v>249</v>
      </c>
    </row>
    <row r="160" spans="14:14" x14ac:dyDescent="0.3">
      <c r="N160" s="63" t="s">
        <v>250</v>
      </c>
    </row>
    <row r="161" spans="14:14" x14ac:dyDescent="0.3">
      <c r="N161" s="63" t="s">
        <v>251</v>
      </c>
    </row>
    <row r="162" spans="14:14" x14ac:dyDescent="0.3">
      <c r="N162" s="63" t="s">
        <v>314</v>
      </c>
    </row>
    <row r="163" spans="14:14" x14ac:dyDescent="0.3">
      <c r="N163" s="63" t="s">
        <v>252</v>
      </c>
    </row>
    <row r="164" spans="14:14" x14ac:dyDescent="0.3">
      <c r="N164" s="63" t="s">
        <v>294</v>
      </c>
    </row>
    <row r="165" spans="14:14" x14ac:dyDescent="0.3">
      <c r="N165" s="63" t="s">
        <v>315</v>
      </c>
    </row>
    <row r="166" spans="14:14" x14ac:dyDescent="0.3">
      <c r="N166" s="63" t="s">
        <v>319</v>
      </c>
    </row>
    <row r="167" spans="14:14" x14ac:dyDescent="0.3">
      <c r="N167" s="63" t="s">
        <v>282</v>
      </c>
    </row>
    <row r="168" spans="14:14" x14ac:dyDescent="0.3">
      <c r="N168" s="63" t="s">
        <v>283</v>
      </c>
    </row>
  </sheetData>
  <pageMargins left="0.7" right="0.7" top="0.75" bottom="0.75" header="0.3" footer="0.3"/>
  <customProperties>
    <customPr name="LastActive" r:id="rId1"/>
  </customProperties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Y142"/>
  <sheetViews>
    <sheetView zoomScaleNormal="100" workbookViewId="0"/>
  </sheetViews>
  <sheetFormatPr defaultRowHeight="14.4" x14ac:dyDescent="0.3"/>
  <cols>
    <col min="1" max="1" width="1.77734375" style="3" customWidth="1"/>
    <col min="2" max="2" width="14.77734375" style="3" customWidth="1"/>
    <col min="3" max="3" width="1.77734375" style="3" customWidth="1"/>
    <col min="4" max="4" width="14.77734375" style="3" customWidth="1"/>
    <col min="5" max="5" width="1.77734375" style="3" customWidth="1"/>
    <col min="6" max="6" width="2.77734375" style="3" customWidth="1"/>
    <col min="7" max="7" width="14.77734375" style="3" customWidth="1"/>
    <col min="8" max="8" width="1.77734375" style="3" customWidth="1"/>
    <col min="9" max="9" width="2.77734375" style="3" customWidth="1"/>
    <col min="10" max="10" width="20.77734375" style="3" customWidth="1"/>
    <col min="11" max="11" width="1.77734375" style="3" customWidth="1"/>
    <col min="12" max="12" width="2.77734375" style="3" customWidth="1"/>
    <col min="13" max="13" width="8.77734375" style="3" customWidth="1"/>
    <col min="14" max="14" width="1.77734375" style="3" customWidth="1"/>
    <col min="15" max="15" width="2.77734375" style="3" customWidth="1"/>
    <col min="16" max="16" width="14.77734375" style="3" customWidth="1"/>
    <col min="17" max="17" width="1.77734375" style="3" customWidth="1"/>
    <col min="18" max="18" width="2.77734375" style="3" customWidth="1"/>
    <col min="19" max="19" width="20.77734375" style="3" customWidth="1"/>
    <col min="20" max="20" width="1.77734375" style="3" customWidth="1"/>
    <col min="21" max="21" width="2.77734375" style="3" customWidth="1"/>
    <col min="22" max="22" width="46.77734375" style="3" customWidth="1"/>
    <col min="23" max="23" width="1.77734375" style="3" customWidth="1"/>
    <col min="24" max="24" width="2.77734375" style="3" customWidth="1"/>
    <col min="25" max="25" width="10.77734375" style="3" customWidth="1"/>
    <col min="26" max="26" width="2.77734375" style="3" customWidth="1"/>
    <col min="27" max="16384" width="8.88671875" style="3"/>
  </cols>
  <sheetData>
    <row r="1" spans="2:25" ht="7.95" customHeight="1" x14ac:dyDescent="0.3"/>
    <row r="2" spans="2:25" s="5" customFormat="1" ht="22.05" customHeight="1" x14ac:dyDescent="0.4">
      <c r="B2" s="15" t="s">
        <v>201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2:25" ht="12" customHeight="1" x14ac:dyDescent="0.3"/>
    <row r="4" spans="2:25" s="5" customFormat="1" ht="18" customHeight="1" x14ac:dyDescent="0.35">
      <c r="B4" s="6" t="s">
        <v>0</v>
      </c>
      <c r="D4" s="82" t="s">
        <v>1</v>
      </c>
      <c r="E4" s="83"/>
      <c r="F4" s="83"/>
      <c r="G4" s="84"/>
    </row>
    <row r="5" spans="2:25" s="5" customFormat="1" ht="12" customHeight="1" x14ac:dyDescent="0.3">
      <c r="B5" s="6"/>
    </row>
    <row r="6" spans="2:25" ht="18" customHeight="1" x14ac:dyDescent="0.35">
      <c r="B6" s="6" t="s">
        <v>3</v>
      </c>
      <c r="D6" s="17">
        <v>42303</v>
      </c>
      <c r="G6" s="13" t="str">
        <f>UPPER(TEXT(D6,"DDDD"))</f>
        <v>MONDAY</v>
      </c>
    </row>
    <row r="7" spans="2:25" ht="12" customHeight="1" x14ac:dyDescent="0.3"/>
    <row r="8" spans="2:25" s="5" customFormat="1" ht="18" customHeight="1" x14ac:dyDescent="0.3">
      <c r="B8" s="6" t="s">
        <v>27</v>
      </c>
      <c r="D8" s="16">
        <f>SUM(Y14:Y34)</f>
        <v>8</v>
      </c>
      <c r="P8" s="6"/>
      <c r="V8" s="6"/>
      <c r="Y8" s="7"/>
    </row>
    <row r="9" spans="2:25" s="5" customFormat="1" ht="12" customHeight="1" x14ac:dyDescent="0.3">
      <c r="B9" s="6"/>
      <c r="P9" s="6"/>
      <c r="V9" s="6"/>
      <c r="Y9" s="7"/>
    </row>
    <row r="10" spans="2:25" ht="42" customHeight="1" x14ac:dyDescent="0.3"/>
    <row r="11" spans="2:25" ht="4.9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</row>
    <row r="12" spans="2:25" s="11" customFormat="1" ht="15.6" x14ac:dyDescent="0.3">
      <c r="B12" s="9" t="s">
        <v>4</v>
      </c>
      <c r="C12" s="9"/>
      <c r="D12" s="9" t="s">
        <v>5</v>
      </c>
      <c r="E12" s="9"/>
      <c r="F12" s="9"/>
      <c r="G12" s="10" t="s">
        <v>10</v>
      </c>
      <c r="H12" s="9"/>
      <c r="I12" s="9"/>
      <c r="J12" s="9" t="s">
        <v>11</v>
      </c>
      <c r="K12" s="9"/>
      <c r="L12" s="9"/>
      <c r="M12" s="9" t="s">
        <v>23</v>
      </c>
      <c r="N12" s="9"/>
      <c r="P12" s="10" t="s">
        <v>28</v>
      </c>
      <c r="Q12" s="9"/>
      <c r="R12" s="9"/>
      <c r="S12" s="9" t="s">
        <v>29</v>
      </c>
      <c r="T12" s="9"/>
      <c r="V12" s="10" t="s">
        <v>92</v>
      </c>
      <c r="W12" s="9"/>
      <c r="Y12" s="9" t="s">
        <v>12</v>
      </c>
    </row>
    <row r="13" spans="2:25" ht="4.9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2:25" s="14" customFormat="1" x14ac:dyDescent="0.3">
      <c r="B14" s="26">
        <v>1</v>
      </c>
      <c r="D14" s="26" t="s">
        <v>6</v>
      </c>
      <c r="E14" s="26"/>
      <c r="F14" s="26"/>
      <c r="G14" s="26" t="s">
        <v>17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80</v>
      </c>
      <c r="T14" s="26"/>
      <c r="U14" s="26"/>
      <c r="V14" s="58" t="s">
        <v>285</v>
      </c>
      <c r="W14" s="26"/>
      <c r="X14" s="26"/>
      <c r="Y14" s="29">
        <v>1</v>
      </c>
    </row>
    <row r="15" spans="2:25" ht="4.95" customHeight="1" x14ac:dyDescent="0.3">
      <c r="B15" s="27"/>
      <c r="C15" s="12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60"/>
      <c r="W15" s="27"/>
      <c r="X15" s="27"/>
      <c r="Y15" s="30"/>
    </row>
    <row r="16" spans="2:25" s="14" customFormat="1" x14ac:dyDescent="0.3">
      <c r="B16" s="26">
        <v>2</v>
      </c>
      <c r="D16" s="26" t="s">
        <v>9</v>
      </c>
      <c r="E16" s="26"/>
      <c r="F16" s="26"/>
      <c r="G16" s="26" t="s">
        <v>166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 t="s">
        <v>127</v>
      </c>
      <c r="T16" s="26"/>
      <c r="U16" s="26"/>
      <c r="V16" s="58" t="s">
        <v>326</v>
      </c>
      <c r="W16" s="26"/>
      <c r="X16" s="26"/>
      <c r="Y16" s="29">
        <v>1</v>
      </c>
    </row>
    <row r="17" spans="2:25" ht="4.95" customHeight="1" x14ac:dyDescent="0.3">
      <c r="B17" s="27"/>
      <c r="C17" s="12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60"/>
      <c r="W17" s="27"/>
      <c r="X17" s="27"/>
      <c r="Y17" s="30"/>
    </row>
    <row r="18" spans="2:25" s="14" customFormat="1" x14ac:dyDescent="0.3">
      <c r="B18" s="26">
        <v>3</v>
      </c>
      <c r="D18" s="26" t="s">
        <v>7</v>
      </c>
      <c r="E18" s="26"/>
      <c r="F18" s="26"/>
      <c r="G18" s="26" t="s">
        <v>32</v>
      </c>
      <c r="H18" s="26"/>
      <c r="I18" s="26"/>
      <c r="J18" s="26" t="s">
        <v>54</v>
      </c>
      <c r="K18" s="26"/>
      <c r="L18" s="26"/>
      <c r="M18" s="26" t="s">
        <v>202</v>
      </c>
      <c r="N18" s="26"/>
      <c r="O18" s="26"/>
      <c r="P18" s="26" t="s">
        <v>25</v>
      </c>
      <c r="Q18" s="26"/>
      <c r="R18" s="26"/>
      <c r="S18" s="26" t="s">
        <v>187</v>
      </c>
      <c r="T18" s="26"/>
      <c r="U18" s="26"/>
      <c r="V18" s="58" t="s">
        <v>327</v>
      </c>
      <c r="W18" s="26"/>
      <c r="X18" s="26"/>
      <c r="Y18" s="29">
        <v>6</v>
      </c>
    </row>
    <row r="19" spans="2:25" ht="4.95" customHeight="1" x14ac:dyDescent="0.3">
      <c r="B19" s="27"/>
      <c r="C19" s="12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60"/>
      <c r="W19" s="27"/>
      <c r="X19" s="27"/>
      <c r="Y19" s="30"/>
    </row>
    <row r="20" spans="2:25" s="14" customFormat="1" x14ac:dyDescent="0.3">
      <c r="B20" s="26">
        <v>4</v>
      </c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58"/>
      <c r="W20" s="26"/>
      <c r="X20" s="26"/>
      <c r="Y20" s="29">
        <v>0</v>
      </c>
    </row>
    <row r="21" spans="2:25" ht="4.95" customHeight="1" x14ac:dyDescent="0.3">
      <c r="B21" s="27"/>
      <c r="C21" s="12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60"/>
      <c r="W21" s="27"/>
      <c r="X21" s="27"/>
      <c r="Y21" s="30"/>
    </row>
    <row r="22" spans="2:25" s="14" customFormat="1" x14ac:dyDescent="0.3">
      <c r="B22" s="26">
        <v>5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58"/>
      <c r="W22" s="26"/>
      <c r="X22" s="26"/>
      <c r="Y22" s="29">
        <v>0</v>
      </c>
    </row>
    <row r="23" spans="2:25" ht="4.95" customHeight="1" x14ac:dyDescent="0.3">
      <c r="B23" s="27"/>
      <c r="C23" s="12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60"/>
      <c r="W23" s="27"/>
      <c r="X23" s="27"/>
      <c r="Y23" s="30"/>
    </row>
    <row r="24" spans="2:25" s="14" customFormat="1" x14ac:dyDescent="0.3">
      <c r="B24" s="26">
        <v>6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58"/>
      <c r="W24" s="26"/>
      <c r="X24" s="26"/>
      <c r="Y24" s="29">
        <v>0</v>
      </c>
    </row>
    <row r="25" spans="2:25" ht="4.95" customHeight="1" x14ac:dyDescent="0.3">
      <c r="B25" s="27"/>
      <c r="C25" s="12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60"/>
      <c r="W25" s="27"/>
      <c r="X25" s="27"/>
      <c r="Y25" s="30"/>
    </row>
    <row r="26" spans="2:25" s="14" customFormat="1" x14ac:dyDescent="0.3">
      <c r="B26" s="26">
        <v>7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58"/>
      <c r="W26" s="26"/>
      <c r="X26" s="26"/>
      <c r="Y26" s="29">
        <v>0</v>
      </c>
    </row>
    <row r="27" spans="2:25" ht="4.95" customHeight="1" x14ac:dyDescent="0.3">
      <c r="B27" s="27"/>
      <c r="C27" s="12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60"/>
      <c r="W27" s="27"/>
      <c r="X27" s="27"/>
      <c r="Y27" s="30"/>
    </row>
    <row r="28" spans="2:25" s="14" customFormat="1" x14ac:dyDescent="0.3">
      <c r="B28" s="26">
        <v>8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58"/>
      <c r="W28" s="26"/>
      <c r="X28" s="26"/>
      <c r="Y28" s="29">
        <v>0</v>
      </c>
    </row>
    <row r="29" spans="2:25" ht="4.95" customHeight="1" x14ac:dyDescent="0.3">
      <c r="B29" s="27"/>
      <c r="C29" s="12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60"/>
      <c r="W29" s="27"/>
      <c r="X29" s="27"/>
      <c r="Y29" s="30"/>
    </row>
    <row r="30" spans="2:25" s="14" customFormat="1" x14ac:dyDescent="0.3">
      <c r="B30" s="26">
        <v>9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58"/>
      <c r="W30" s="26"/>
      <c r="X30" s="26"/>
      <c r="Y30" s="29">
        <v>0</v>
      </c>
    </row>
    <row r="31" spans="2:25" ht="4.95" customHeight="1" x14ac:dyDescent="0.3">
      <c r="B31" s="27"/>
      <c r="C31" s="12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60"/>
      <c r="W31" s="27"/>
      <c r="X31" s="27"/>
      <c r="Y31" s="30"/>
    </row>
    <row r="32" spans="2:25" s="14" customFormat="1" x14ac:dyDescent="0.3">
      <c r="B32" s="26">
        <v>10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58"/>
      <c r="W32" s="26"/>
      <c r="X32" s="26"/>
      <c r="Y32" s="29">
        <v>0</v>
      </c>
    </row>
    <row r="33" spans="2:25" ht="4.95" customHeight="1" x14ac:dyDescent="0.3">
      <c r="B33" s="27"/>
      <c r="C33" s="12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60"/>
      <c r="W33" s="27"/>
      <c r="X33" s="27"/>
      <c r="Y33" s="30"/>
    </row>
    <row r="34" spans="2:25" s="14" customFormat="1" x14ac:dyDescent="0.3">
      <c r="B34" s="26">
        <v>11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58"/>
      <c r="W34" s="26"/>
      <c r="X34" s="26"/>
      <c r="Y34" s="29">
        <v>0</v>
      </c>
    </row>
    <row r="35" spans="2:25" ht="4.95" customHeight="1" x14ac:dyDescent="0.3">
      <c r="B35" s="27"/>
      <c r="C35" s="12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60"/>
      <c r="W35" s="27"/>
      <c r="X35" s="27"/>
      <c r="Y35" s="30"/>
    </row>
    <row r="36" spans="2:25" s="14" customFormat="1" x14ac:dyDescent="0.3">
      <c r="B36" s="26">
        <v>12</v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58"/>
      <c r="W36" s="26"/>
      <c r="X36" s="26"/>
      <c r="Y36" s="29">
        <v>0</v>
      </c>
    </row>
    <row r="37" spans="2:25" ht="4.95" customHeight="1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2:25" ht="4.95" customHeight="1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</row>
    <row r="39" spans="2:25" ht="37.950000000000003" customHeight="1" x14ac:dyDescent="0.3"/>
    <row r="45" spans="2:25" x14ac:dyDescent="0.3">
      <c r="B45" s="19" t="s">
        <v>210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ht="4.95" customHeight="1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2:25" s="21" customFormat="1" ht="15" x14ac:dyDescent="0.3">
      <c r="B47" s="49"/>
      <c r="C47" s="50" t="s">
        <v>204</v>
      </c>
      <c r="D47" s="74">
        <f>IF(M14=C47,Y14) + IF(M16=C47,Y16) + IF(M18=C47,Y18) + IF(M20=C47,Y20) + IF(M22=C47,Y22) + IF(M24=C47,Y24) + IF(M26=C47,Y26) + IF(M28=C47,Y28) + IF(M30=C47,Y30) + IF(M32=C47,Y32) + IF(M34=C47,Y34) + IF(M36=C47,Y36)</f>
        <v>0</v>
      </c>
      <c r="E47" s="51"/>
      <c r="I47" s="28"/>
    </row>
    <row r="48" spans="2:25" s="21" customFormat="1" ht="15" x14ac:dyDescent="0.3">
      <c r="B48" s="52"/>
      <c r="C48" s="53" t="s">
        <v>202</v>
      </c>
      <c r="D48" s="75">
        <f>IF(M14=C48,Y14) + IF(M16=C48,Y16) + IF(M18=C48,Y18) + IF(M20=C48,Y20) + IF(M22=C48,Y22) + IF(M24=C48,Y24) + IF(M26=C48,Y26) + IF(M28=C48,Y28) + IF(M30=C48,Y30) + IF(M32=C48,Y32) + IF(M34=C48,Y34) + IF(M36=C48,Y36)</f>
        <v>6</v>
      </c>
      <c r="E48" s="54"/>
      <c r="I48" s="28"/>
    </row>
    <row r="49" spans="2:9" s="21" customFormat="1" ht="15" x14ac:dyDescent="0.3">
      <c r="B49" s="52"/>
      <c r="C49" s="53" t="s">
        <v>203</v>
      </c>
      <c r="D49" s="75">
        <f>IF(M14=C49,Y14) + IF(M16=C49,Y16) + IF(M18=C49,Y18) + IF(M20=C49,Y20) + IF(M22=C49,Y22) + IF(M24=C49,Y24) + IF(M26=C49,Y26) + IF(M28=C49,Y28) + IF(M30=C49,Y30) + IF(M32=C49,Y32) + IF(M34=C49,Y34) + IF(M36=C49,Y36)</f>
        <v>0</v>
      </c>
      <c r="E49" s="54"/>
      <c r="I49" s="28"/>
    </row>
    <row r="50" spans="2:9" s="21" customFormat="1" ht="15" x14ac:dyDescent="0.3">
      <c r="B50" s="52"/>
      <c r="C50" s="53" t="s">
        <v>162</v>
      </c>
      <c r="D50" s="75">
        <f>IF(M14=C50,Y14) + IF(M16=C50,Y16) + IF(M18=C50,Y18) + IF(M20=C50,Y20) + IF(M22=C50,Y22) + IF(M24=C50,Y24) + IF(M26=C50,Y26) + IF(M28=C50,Y28) + IF(M30=C50,Y30) + IF(M32=C50,Y32) + IF(M34=C50,Y34) + IF(M36=C50,Y36)</f>
        <v>0</v>
      </c>
      <c r="E50" s="54"/>
      <c r="I50" s="28"/>
    </row>
    <row r="51" spans="2:9" s="21" customFormat="1" ht="15" x14ac:dyDescent="0.3">
      <c r="B51" s="52"/>
      <c r="C51" s="53" t="s">
        <v>209</v>
      </c>
      <c r="D51" s="75">
        <f>IF(M14=C51,Y14) + IF(M16=C51,Y16) + IF(M18=C51,Y18) + IF(M20=C51,Y20) + IF(M22=C51,Y22) + IF(M24=C51,Y24) + IF(M26=C51,Y26) + IF(M28=C51,Y28) + IF(M30=C51,Y30) + IF(M32=C51,Y32) + IF(M34=C51,Y34) + IF(M36=C51,Y36)</f>
        <v>0</v>
      </c>
      <c r="E51" s="54"/>
    </row>
    <row r="52" spans="2:9" s="21" customFormat="1" ht="15" x14ac:dyDescent="0.3">
      <c r="B52" s="52"/>
      <c r="C52" s="53" t="s">
        <v>127</v>
      </c>
      <c r="D52" s="75">
        <f>IF(M14=C52,Y14) + IF(M16=C52,Y16) + IF(M18=C52,Y18) + IF(M20=C52,Y20) + IF(M22=C52,Y22) + IF(M24=C52,Y24) + IF(M26=C52,Y26) + IF(M28=C52,Y28) + IF(M30=C52,Y30) + IF(M32=C52,Y32) + IF(M34=C52,Y34) + IF(M36=C52,Y36)</f>
        <v>0</v>
      </c>
      <c r="E52" s="54"/>
    </row>
    <row r="53" spans="2:9" s="21" customFormat="1" ht="15" x14ac:dyDescent="0.3">
      <c r="B53" s="52"/>
      <c r="C53" s="53" t="s">
        <v>206</v>
      </c>
      <c r="D53" s="75">
        <f>IF(M14=C53,Y14) + IF(M16=C53,Y16) + IF(M18=C53,Y18) + IF(M20=C53,Y20) + IF(M22=C53,Y22) + IF(M24=C53,Y24) + IF(M26=C53,Y26) + IF(M28=C53,Y28) + IF(M30=C53,Y30) + IF(M32=C53,Y32) + IF(M34=C53,Y34) + IF(M36=C53,Y36)</f>
        <v>0</v>
      </c>
      <c r="E53" s="54"/>
    </row>
    <row r="54" spans="2:9" s="21" customFormat="1" ht="15" x14ac:dyDescent="0.3">
      <c r="B54" s="55"/>
      <c r="C54" s="56" t="s">
        <v>207</v>
      </c>
      <c r="D54" s="76">
        <f>IF(M14=C54,Y14) + IF(M16=C54,Y16) + IF(M18=C54,Y18) + IF(M20=C54,Y20) + IF(M22=C54,Y22) + IF(M24=C54,Y24) + IF(M26=C54,Y26) + IF(M28=C54,Y28) + IF(M30=C54,Y30) + IF(M32=C54,Y32) + IF(M34=C54,Y34) + IF(M36=C54,Y36)</f>
        <v>0</v>
      </c>
      <c r="E54" s="57"/>
    </row>
    <row r="55" spans="2:9" s="21" customFormat="1" ht="13.8" x14ac:dyDescent="0.3"/>
    <row r="56" spans="2:9" s="21" customFormat="1" ht="13.8" x14ac:dyDescent="0.3"/>
    <row r="57" spans="2:9" s="21" customFormat="1" ht="15" x14ac:dyDescent="0.3">
      <c r="B57" s="49"/>
      <c r="C57" s="50" t="s">
        <v>7</v>
      </c>
      <c r="D57" s="74">
        <f>IF(D14=C57,Y14) + IF(D16=C57,Y16) + IF(D18=C57,Y18) + IF(D20=C57,Y20) + IF(D22=C57,Y22) + IF(D24=C57,Y24) + IF(D26=C57,Y26) + IF(D28=C57,Y28) + IF(D30=C57,Y30) + IF(D32=C57,Y32) + IF(D34=C57,Y34) + IF(D36=C57,Y36)</f>
        <v>6</v>
      </c>
      <c r="E57" s="51"/>
    </row>
    <row r="58" spans="2:9" s="21" customFormat="1" ht="15" x14ac:dyDescent="0.3">
      <c r="B58" s="52"/>
      <c r="C58" s="53" t="s">
        <v>6</v>
      </c>
      <c r="D58" s="75">
        <f>IF(D14=C58,Y14) + IF(D16=C58,Y16) + IF(D18=C58,Y18) + IF(D20=C58,Y20) + IF(D22=C58,Y22) + IF(D24=C58,Y24) + IF(D26=C58,Y26) + IF(D28=C58,Y28) + IF(D30=C58,Y30) + IF(D32=C58,Y32) + IF(D34=C58,Y34) + IF(D36=C58,Y36)</f>
        <v>1</v>
      </c>
      <c r="E58" s="54"/>
    </row>
    <row r="59" spans="2:9" s="21" customFormat="1" ht="15" x14ac:dyDescent="0.3">
      <c r="B59" s="52"/>
      <c r="C59" s="53" t="s">
        <v>9</v>
      </c>
      <c r="D59" s="75">
        <f>IF(D14=C59,Y14) + IF(D16=C59,Y16) + IF(D18=C59,Y18) + IF(D20=C59,Y20) + IF(D22=C59,Y22) + IF(D24=C59,Y24) + IF(D26=C59,Y26) + IF(D28=C59,Y28) + IF(D30=C59,Y30) + IF(D32=C59,Y32) + IF(D34=C59,Y34) + IF(D36=C59,Y36)</f>
        <v>1</v>
      </c>
      <c r="E59" s="54"/>
    </row>
    <row r="60" spans="2:9" s="21" customFormat="1" ht="15" x14ac:dyDescent="0.3">
      <c r="B60" s="55"/>
      <c r="C60" s="56" t="s">
        <v>8</v>
      </c>
      <c r="D60" s="76">
        <f>IF(D14=C60,Y14) + IF(D16=C60,Y16) + IF(D18=C60,Y18) + IF(D20=C60,Y20) + IF(D22=C60,Y22) + IF(D24=C60,Y24) + IF(D26=C60,Y26) + IF(D28=C60,Y28) + IF(D30=C60,Y30) + IF(D32=C60,Y32) + IF(D34=C60,Y34) + IF(D36=C60,Y36)</f>
        <v>0</v>
      </c>
      <c r="E60" s="57"/>
    </row>
    <row r="61" spans="2:9" s="21" customFormat="1" ht="13.8" x14ac:dyDescent="0.3"/>
    <row r="62" spans="2:9" s="21" customFormat="1" ht="13.8" x14ac:dyDescent="0.3"/>
    <row r="63" spans="2:9" ht="15" x14ac:dyDescent="0.3">
      <c r="B63" s="31"/>
      <c r="C63" s="32"/>
      <c r="D63" s="32"/>
      <c r="E63" s="32"/>
      <c r="F63" s="40" t="s">
        <v>253</v>
      </c>
      <c r="G63" s="74">
        <f>IF(F63=CONCATENATE(P14,":",S14),Y14)+IF(F63=CONCATENATE(P16,":",S16),Y16)+IF(F63=CONCATENATE(P18,":",S18),Y18)+IF(F63=CONCATENATE(P20,":",S20),Y20)+IF(F63=CONCATENATE(P22,":",S22),Y22)+IF(F63=CONCATENATE(P24,":",S24),Y24)+IF(F63=CONCATENATE(P26,":",S26),Y26)+IF(F63=CONCATENATE(P28,":",S28),Y28)+IF(F63=CONCATENATE(P30,":",S30),Y30)+IF(F63=CONCATENATE(P32,":",S32),Y32)+IF(F63=CONCATENATE(P34,":",S34),Y34)+IF(F63=CONCATENATE(P36,":",S36),Y36)+IF(F63=CONCATENATE(P36,":",S36),Y36)</f>
        <v>0</v>
      </c>
      <c r="H63" s="33"/>
    </row>
    <row r="64" spans="2:9" ht="15" x14ac:dyDescent="0.3">
      <c r="B64" s="34"/>
      <c r="C64" s="35"/>
      <c r="D64" s="35"/>
      <c r="E64" s="35"/>
      <c r="F64" s="41" t="s">
        <v>254</v>
      </c>
      <c r="G64" s="75">
        <f>IF(F64=CONCATENATE(P14,":",S14),Y14)+IF(F64=CONCATENATE(P16,":",S16),Y16)+IF(F64=CONCATENATE(P18,":",S18),Y18)+IF(F64=CONCATENATE(P20,":",S20),Y20)+IF(F64=CONCATENATE(P22,":",S22),Y22)+IF(F64=CONCATENATE(P24,":",S24),Y24)+IF(F64=CONCATENATE(P26,":",S26),Y26)+IF(F64=CONCATENATE(P28,":",S28),Y28)+IF(F64=CONCATENATE(P30,":",S30),Y30)+IF(F64=CONCATENATE(P32,":",S32),Y32)+IF(F64=CONCATENATE(P34,":",S34),Y34)+IF(F64=CONCATENATE(P36,":",S36),Y36)+IF(F64=CONCATENATE(P36,":",S36),Y36)</f>
        <v>0</v>
      </c>
      <c r="H64" s="36"/>
    </row>
    <row r="65" spans="2:8" ht="15" x14ac:dyDescent="0.3">
      <c r="B65" s="34"/>
      <c r="C65" s="35"/>
      <c r="D65" s="35"/>
      <c r="E65" s="35"/>
      <c r="F65" s="41" t="s">
        <v>255</v>
      </c>
      <c r="G65" s="75">
        <f>IF(F65=CONCATENATE(P14,":",S14),Y14)+IF(F65=CONCATENATE(P16,":",S16),Y16)+IF(F65=CONCATENATE(P18,":",S18),Y18)+IF(F65=CONCATENATE(P20,":",S20),Y20)+IF(F65=CONCATENATE(P22,":",S22),Y22)+IF(F65=CONCATENATE(P24,":",S24),Y24)+IF(F65=CONCATENATE(P26,":",S26),Y26)+IF(F65=CONCATENATE(P28,":",S28),Y28)+IF(F65=CONCATENATE(P30,":",S30),Y30)+IF(F65=CONCATENATE(P32,":",S32),Y32)+IF(F65=CONCATENATE(P34,":",S34),Y34)+IF(F65=CONCATENATE(P36,":",S36),Y36)+IF(F65=CONCATENATE(P36,":",S36),Y36)</f>
        <v>0</v>
      </c>
      <c r="H65" s="36"/>
    </row>
    <row r="66" spans="2:8" ht="15" x14ac:dyDescent="0.3">
      <c r="B66" s="34"/>
      <c r="C66" s="35"/>
      <c r="D66" s="35"/>
      <c r="E66" s="35"/>
      <c r="F66" s="41" t="s">
        <v>297</v>
      </c>
      <c r="G66" s="75">
        <f>IF(F66=CONCATENATE(P14,":",S14),Y14)+IF(F66=CONCATENATE(P16,":",S16),Y16)+IF(F66=CONCATENATE(P18,":",S18),Y18)+IF(F66=CONCATENATE(P20,":",S20),Y20)+IF(F66=CONCATENATE(P22,":",S22),Y22)+IF(F66=CONCATENATE(P24,":",S24),Y24)+IF(F66=CONCATENATE(P26,":",S26),Y26)+IF(F66=CONCATENATE(P28,":",S28),Y28)+IF(F66=CONCATENATE(P30,":",S30),Y30)+IF(F66=CONCATENATE(P32,":",S32),Y32)+IF(F66=CONCATENATE(P34,":",S34),Y34)+IF(F66=CONCATENATE(P36,":",S36),Y36)+IF(F66=CONCATENATE(P36,":",S36),Y36)</f>
        <v>0</v>
      </c>
      <c r="H66" s="36"/>
    </row>
    <row r="67" spans="2:8" s="64" customFormat="1" ht="15" x14ac:dyDescent="0.3">
      <c r="B67" s="68"/>
      <c r="C67" s="69"/>
      <c r="D67" s="69"/>
      <c r="E67" s="69"/>
      <c r="F67" s="41" t="s">
        <v>256</v>
      </c>
      <c r="G67" s="75">
        <f>IF(F67=CONCATENATE(P14,":",S14),Y14)+IF(F67=CONCATENATE(P16,":",S16),Y16)+IF(F67=CONCATENATE(P18,":",S18),Y18)+IF(F67=CONCATENATE(P20,":",S20),Y20)+IF(F67=CONCATENATE(P22,":",S22),Y22)+IF(F67=CONCATENATE(P24,":",S24),Y24)+IF(F67=CONCATENATE(P26,":",S26),Y26)+IF(F67=CONCATENATE(P28,":",S28),Y28)+IF(F67=CONCATENATE(P30,":",S30),Y30)+IF(F67=CONCATENATE(P32,":",S32),Y32)+IF(F67=CONCATENATE(P34,":",S34),Y34)+IF(F67=CONCATENATE(P36,":",S36),Y36)+IF(F67=CONCATENATE(P87,":",S38),Y38)</f>
        <v>0</v>
      </c>
      <c r="H67" s="70"/>
    </row>
    <row r="68" spans="2:8" ht="15" x14ac:dyDescent="0.3">
      <c r="B68" s="34"/>
      <c r="C68" s="35"/>
      <c r="D68" s="35"/>
      <c r="E68" s="35"/>
      <c r="F68" s="41" t="s">
        <v>257</v>
      </c>
      <c r="G68" s="75">
        <f>IF(F68=CONCATENATE(P14,":",S14),Y14)+IF(F68=CONCATENATE(P16,":",S16),Y16)+IF(F68=CONCATENATE(P18,":",S18),Y18)+IF(F68=CONCATENATE(P20,":",S20),Y20)+IF(F68=CONCATENATE(P22,":",S22),Y22)+IF(F68=CONCATENATE(P24,":",S24),Y24)+IF(F68=CONCATENATE(P26,":",S26),Y26)+IF(F68=CONCATENATE(P28,":",S28),Y28)+IF(F68=CONCATENATE(P30,":",S30),Y30)+IF(F68=CONCATENATE(P32,":",S32),Y32)+IF(F68=CONCATENATE(P34,":",S34),Y34)+IF(F68=CONCATENATE(P36,":",S36),Y36)+IF(F68=CONCATENATE(P36,":",S36),Y36)</f>
        <v>0</v>
      </c>
      <c r="H68" s="36"/>
    </row>
    <row r="69" spans="2:8" ht="15" x14ac:dyDescent="0.3">
      <c r="B69" s="34"/>
      <c r="C69" s="35"/>
      <c r="D69" s="35"/>
      <c r="E69" s="35"/>
      <c r="F69" s="41" t="s">
        <v>258</v>
      </c>
      <c r="G69" s="75">
        <f>IF(F69=CONCATENATE(P14,":",S14),Y14)+IF(F69=CONCATENATE(P16,":",S16),Y16)+IF(F69=CONCATENATE(P18,":",S18),Y18)+IF(F69=CONCATENATE(P20,":",S20),Y20)+IF(F69=CONCATENATE(P22,":",S22),Y22)+IF(F69=CONCATENATE(P24,":",S24),Y24)+IF(F69=CONCATENATE(P26,":",S26),Y26)+IF(F69=CONCATENATE(P28,":",S28),Y28)+IF(F69=CONCATENATE(P30,":",S30),Y30)+IF(F69=CONCATENATE(P32,":",S32),Y32)+IF(F69=CONCATENATE(P34,":",S34),Y34)+IF(F69=CONCATENATE(P36,":",S36),Y36)+IF(F69=CONCATENATE(P36,":",S36),Y36)</f>
        <v>6</v>
      </c>
      <c r="H69" s="36"/>
    </row>
    <row r="70" spans="2:8" ht="15" x14ac:dyDescent="0.3">
      <c r="B70" s="34"/>
      <c r="C70" s="35"/>
      <c r="D70" s="35"/>
      <c r="E70" s="35"/>
      <c r="F70" s="41" t="s">
        <v>259</v>
      </c>
      <c r="G70" s="75">
        <f>IF(F70=CONCATENATE(P14,":",S14),Y14)+IF(F70=CONCATENATE(P16,":",S16),Y16)+IF(F70=CONCATENATE(P18,":",S18),Y18)+IF(F70=CONCATENATE(P20,":",S20),Y20)+IF(F70=CONCATENATE(P22,":",S22),Y22)+IF(F70=CONCATENATE(P24,":",S24),Y24)+IF(F70=CONCATENATE(P26,":",S26),Y26)+IF(F70=CONCATENATE(P28,":",S28),Y28)+IF(F70=CONCATENATE(P30,":",S30),Y30)+IF(F70=CONCATENATE(P32,":",S32),Y32)+IF(F70=CONCATENATE(P34,":",S34),Y34)+IF(F70=CONCATENATE(P36,":",S36),Y36)+IF(F70=CONCATENATE(P36,":",S36),Y36)</f>
        <v>0</v>
      </c>
      <c r="H70" s="36"/>
    </row>
    <row r="71" spans="2:8" ht="15" x14ac:dyDescent="0.3">
      <c r="B71" s="34"/>
      <c r="C71" s="35"/>
      <c r="D71" s="35"/>
      <c r="E71" s="35"/>
      <c r="F71" s="41" t="s">
        <v>260</v>
      </c>
      <c r="G71" s="75">
        <f>IF(F71=CONCATENATE(P14,":",S14),Y14)+IF(F71=CONCATENATE(P16,":",S16),Y16)+IF(F71=CONCATENATE(P18,":",S18),Y18)+IF(F71=CONCATENATE(P20,":",S20),Y20)+IF(F71=CONCATENATE(P22,":",S22),Y22)+IF(F71=CONCATENATE(P24,":",S24),Y24)+IF(F71=CONCATENATE(P26,":",S26),Y26)+IF(F71=CONCATENATE(P28,":",S28),Y28)+IF(F71=CONCATENATE(P30,":",S30),Y30)+IF(F71=CONCATENATE(P32,":",S32),Y32)+IF(F71=CONCATENATE(P34,":",S34),Y34)+IF(F71=CONCATENATE(P36,":",S36),Y36)+IF(F71=CONCATENATE(P36,":",S36),Y36)</f>
        <v>0</v>
      </c>
      <c r="H71" s="36"/>
    </row>
    <row r="72" spans="2:8" ht="15" x14ac:dyDescent="0.3">
      <c r="B72" s="34"/>
      <c r="C72" s="35"/>
      <c r="D72" s="35"/>
      <c r="E72" s="35"/>
      <c r="F72" s="41" t="s">
        <v>261</v>
      </c>
      <c r="G72" s="75">
        <f>IF(F72=CONCATENATE(P14,":",S14),Y14)+IF(F72=CONCATENATE(P16,":",S16),Y16)+IF(F72=CONCATENATE(P18,":",S18),Y18)+IF(F72=CONCATENATE(P20,":",S20),Y20)+IF(F72=CONCATENATE(P22,":",S22),Y22)+IF(F72=CONCATENATE(P24,":",S24),Y24)+IF(F72=CONCATENATE(P26,":",S26),Y26)+IF(F72=CONCATENATE(P28,":",S28),Y28)+IF(F72=CONCATENATE(P30,":",S30),Y30)+IF(F72=CONCATENATE(P32,":",S32),Y32)+IF(F72=CONCATENATE(P34,":",S34),Y34)+IF(F72=CONCATENATE(P36,":",S36),Y36)+IF(F72=CONCATENATE(P36,":",S36),Y36)</f>
        <v>0</v>
      </c>
      <c r="H72" s="36"/>
    </row>
    <row r="73" spans="2:8" ht="15" x14ac:dyDescent="0.3">
      <c r="B73" s="34"/>
      <c r="C73" s="35"/>
      <c r="D73" s="35"/>
      <c r="E73" s="35"/>
      <c r="F73" s="41" t="s">
        <v>262</v>
      </c>
      <c r="G73" s="75">
        <f>IF(F73=CONCATENATE(P14,":",S14),Y14)+IF(F73=CONCATENATE(P16,":",S16),Y16)+IF(F73=CONCATENATE(P18,":",S18),Y18)+IF(F73=CONCATENATE(P20,":",S20),Y20)+IF(F73=CONCATENATE(P22,":",S22),Y22)+IF(F73=CONCATENATE(P24,":",S24),Y24)+IF(F73=CONCATENATE(P26,":",S26),Y26)+IF(F73=CONCATENATE(P28,":",S28),Y28)+IF(F73=CONCATENATE(P30,":",S30),Y30)+IF(F73=CONCATENATE(P32,":",S32),Y32)+IF(F73=CONCATENATE(P34,":",S34),Y34)+IF(F73=CONCATENATE(P36,":",S36),Y36)+IF(F73=CONCATENATE(P36,":",S36),Y36)</f>
        <v>0</v>
      </c>
      <c r="H73" s="36"/>
    </row>
    <row r="74" spans="2:8" ht="15" x14ac:dyDescent="0.3">
      <c r="B74" s="34"/>
      <c r="C74" s="35"/>
      <c r="D74" s="35"/>
      <c r="E74" s="35"/>
      <c r="F74" s="41" t="s">
        <v>263</v>
      </c>
      <c r="G74" s="75">
        <f>IF(F74=CONCATENATE(P14,":",S14),Y14)+IF(F74=CONCATENATE(P16,":",S16),Y16)+IF(F74=CONCATENATE(P18,":",S18),Y18)+IF(F74=CONCATENATE(P20,":",S20),Y20)+IF(F74=CONCATENATE(P22,":",S22),Y22)+IF(F74=CONCATENATE(P24,":",S24),Y24)+IF(F74=CONCATENATE(P26,":",S26),Y26)+IF(F74=CONCATENATE(P28,":",S28),Y28)+IF(F74=CONCATENATE(P30,":",S30),Y30)+IF(F74=CONCATENATE(P32,":",S32),Y32)+IF(F74=CONCATENATE(P34,":",S34),Y34)+IF(F74=CONCATENATE(P36,":",S36),Y36)+IF(F74=CONCATENATE(P36,":",S36),Y36)</f>
        <v>0</v>
      </c>
      <c r="H74" s="36"/>
    </row>
    <row r="75" spans="2:8" ht="15" x14ac:dyDescent="0.3">
      <c r="B75" s="34"/>
      <c r="C75" s="35"/>
      <c r="D75" s="35"/>
      <c r="E75" s="35"/>
      <c r="F75" s="41" t="s">
        <v>264</v>
      </c>
      <c r="G75" s="75">
        <f>IF(F75=CONCATENATE(P14,":",S14),Y14)+IF(F75=CONCATENATE(P16,":",S16),Y16)+IF(F75=CONCATENATE(P18,":",S18),Y18)+IF(F75=CONCATENATE(P20,":",S20),Y20)+IF(F75=CONCATENATE(P22,":",S22),Y22)+IF(F75=CONCATENATE(P24,":",S24),Y24)+IF(F75=CONCATENATE(P26,":",S26),Y26)+IF(F75=CONCATENATE(P28,":",S28),Y28)+IF(F75=CONCATENATE(P30,":",S30),Y30)+IF(F75=CONCATENATE(P32,":",S32),Y32)+IF(F75=CONCATENATE(P34,":",S34),Y34)+IF(F75=CONCATENATE(P36,":",S36),Y36)+IF(F75=CONCATENATE(P36,":",S36),Y36)</f>
        <v>0</v>
      </c>
      <c r="H75" s="36"/>
    </row>
    <row r="76" spans="2:8" ht="15" x14ac:dyDescent="0.3">
      <c r="B76" s="34"/>
      <c r="C76" s="35"/>
      <c r="D76" s="35"/>
      <c r="E76" s="35"/>
      <c r="F76" s="41" t="s">
        <v>265</v>
      </c>
      <c r="G76" s="75">
        <f>IF(F76=CONCATENATE(P14,":",S14),Y14)+IF(F76=CONCATENATE(P16,":",S16),Y16)+IF(F76=CONCATENATE(P18,":",S18),Y18)+IF(F76=CONCATENATE(P20,":",S20),Y20)+IF(F76=CONCATENATE(P22,":",S22),Y22)+IF(F76=CONCATENATE(P24,":",S24),Y24)+IF(F76=CONCATENATE(P26,":",S26),Y26)+IF(F76=CONCATENATE(P28,":",S28),Y28)+IF(F76=CONCATENATE(P30,":",S30),Y30)+IF(F76=CONCATENATE(P32,":",S32),Y32)+IF(F76=CONCATENATE(P34,":",S34),Y34)+IF(F76=CONCATENATE(P36,":",S36),Y36)+IF(F76=CONCATENATE(P36,":",S36),Y36)</f>
        <v>0</v>
      </c>
      <c r="H76" s="36"/>
    </row>
    <row r="77" spans="2:8" ht="15" x14ac:dyDescent="0.3">
      <c r="B77" s="34"/>
      <c r="C77" s="35"/>
      <c r="D77" s="35"/>
      <c r="E77" s="35"/>
      <c r="F77" s="41" t="s">
        <v>266</v>
      </c>
      <c r="G77" s="75">
        <f>IF(F77=CONCATENATE(P14,":",S14),Y14)+IF(F77=CONCATENATE(P16,":",S16),Y16)+IF(F77=CONCATENATE(P18,":",S18),Y18)+IF(F77=CONCATENATE(P20,":",S20),Y20)+IF(F77=CONCATENATE(P22,":",S22),Y22)+IF(F77=CONCATENATE(P24,":",S24),Y24)+IF(F77=CONCATENATE(P26,":",S26),Y26)+IF(F77=CONCATENATE(P28,":",S28),Y28)+IF(F77=CONCATENATE(P30,":",S30),Y30)+IF(F77=CONCATENATE(P32,":",S32),Y32)+IF(F77=CONCATENATE(P34,":",S34),Y34)+IF(F77=CONCATENATE(P36,":",S36),Y36)+IF(F77=CONCATENATE(P36,":",S36),Y36)</f>
        <v>0</v>
      </c>
      <c r="H77" s="36"/>
    </row>
    <row r="78" spans="2:8" ht="15" x14ac:dyDescent="0.3">
      <c r="B78" s="34"/>
      <c r="C78" s="35"/>
      <c r="D78" s="35"/>
      <c r="E78" s="35"/>
      <c r="F78" s="41" t="s">
        <v>267</v>
      </c>
      <c r="G78" s="75">
        <f>IF(F78=CONCATENATE(P14,":",S14),Y14)+IF(F78=CONCATENATE(P16,":",S16),Y16)+IF(F78=CONCATENATE(P18,":",S18),Y18)+IF(F78=CONCATENATE(P20,":",S20),Y20)+IF(F78=CONCATENATE(P22,":",S22),Y22)+IF(F78=CONCATENATE(P24,":",S24),Y24)+IF(F78=CONCATENATE(P26,":",S26),Y26)+IF(F78=CONCATENATE(P28,":",S28),Y28)+IF(F78=CONCATENATE(P30,":",S30),Y30)+IF(F78=CONCATENATE(P32,":",S32),Y32)+IF(F78=CONCATENATE(P34,":",S34),Y34)+IF(F78=CONCATENATE(P36,":",S36),Y36)+IF(F78=CONCATENATE(P36,":",S36),Y36)</f>
        <v>0</v>
      </c>
      <c r="H78" s="36"/>
    </row>
    <row r="79" spans="2:8" ht="15" x14ac:dyDescent="0.3">
      <c r="B79" s="34"/>
      <c r="C79" s="35"/>
      <c r="D79" s="35"/>
      <c r="E79" s="35"/>
      <c r="F79" s="41" t="s">
        <v>268</v>
      </c>
      <c r="G79" s="75">
        <f>IF(F79=CONCATENATE(P14,":",S14),Y14)+IF(F79=CONCATENATE(P16,":",S16),Y16)+IF(F79=CONCATENATE(P18,":",S18),Y18)+IF(F79=CONCATENATE(P20,":",S20),Y20)+IF(F79=CONCATENATE(P22,":",S22),Y22)+IF(F79=CONCATENATE(P24,":",S24),Y24)+IF(F79=CONCATENATE(P26,":",S26),Y26)+IF(F79=CONCATENATE(P28,":",S28),Y28)+IF(F79=CONCATENATE(P30,":",S30),Y30)+IF(F79=CONCATENATE(P32,":",S32),Y32)+IF(F79=CONCATENATE(P34,":",S34),Y34)+IF(F79=CONCATENATE(P36,":",S36),Y36)+IF(F79=CONCATENATE(P36,":",S36),Y36)</f>
        <v>0</v>
      </c>
      <c r="H79" s="36"/>
    </row>
    <row r="80" spans="2:8" ht="15" x14ac:dyDescent="0.3">
      <c r="B80" s="34"/>
      <c r="C80" s="35"/>
      <c r="D80" s="35"/>
      <c r="E80" s="35"/>
      <c r="F80" s="41" t="s">
        <v>269</v>
      </c>
      <c r="G80" s="75">
        <f>IF(F80=CONCATENATE(P14,":",S14),Y14)+IF(F80=CONCATENATE(P16,":",S16),Y16)+IF(F80=CONCATENATE(P18,":",S18),Y18)+IF(F80=CONCATENATE(P20,":",S20),Y20)+IF(F80=CONCATENATE(P22,":",S22),Y22)+IF(F80=CONCATENATE(P24,":",S24),Y24)+IF(F80=CONCATENATE(P26,":",S26),Y26)+IF(F80=CONCATENATE(P28,":",S28),Y28)+IF(F80=CONCATENATE(P30,":",S30),Y30)+IF(F80=CONCATENATE(P32,":",S32),Y32)+IF(F80=CONCATENATE(P34,":",S34),Y34)+IF(F80=CONCATENATE(P36,":",S36),Y36)+IF(F80=CONCATENATE(P36,":",S36),Y36)</f>
        <v>0</v>
      </c>
      <c r="H80" s="36"/>
    </row>
    <row r="81" spans="2:8" ht="15" x14ac:dyDescent="0.3">
      <c r="B81" s="34"/>
      <c r="C81" s="35"/>
      <c r="D81" s="35"/>
      <c r="E81" s="35"/>
      <c r="F81" s="41" t="s">
        <v>270</v>
      </c>
      <c r="G81" s="75">
        <f>IF(F81=CONCATENATE(P14,":",S14),Y14)+IF(F81=CONCATENATE(P16,":",S16),Y16)+IF(F81=CONCATENATE(P18,":",S18),Y18)+IF(F81=CONCATENATE(P20,":",S20),Y20)+IF(F81=CONCATENATE(P22,":",S22),Y22)+IF(F81=CONCATENATE(P24,":",S24),Y24)+IF(F81=CONCATENATE(P26,":",S26),Y26)+IF(F81=CONCATENATE(P28,":",S28),Y28)+IF(F81=CONCATENATE(P30,":",S30),Y30)+IF(F81=CONCATENATE(P32,":",S32),Y32)+IF(F81=CONCATENATE(P34,":",S34),Y34)+IF(F81=CONCATENATE(P36,":",S36),Y36)+IF(F81=CONCATENATE(P36,":",S36),Y36)</f>
        <v>0</v>
      </c>
      <c r="H81" s="36"/>
    </row>
    <row r="82" spans="2:8" ht="15" x14ac:dyDescent="0.3">
      <c r="B82" s="34"/>
      <c r="C82" s="35"/>
      <c r="D82" s="35"/>
      <c r="E82" s="35"/>
      <c r="F82" s="41" t="s">
        <v>271</v>
      </c>
      <c r="G82" s="75">
        <f>IF(F82=CONCATENATE(P14,":",S14),Y14)+IF(F82=CONCATENATE(P16,":",S16),Y16)+IF(F82=CONCATENATE(P18,":",S18),Y18)+IF(F82=CONCATENATE(P20,":",S20),Y20)+IF(F82=CONCATENATE(P22,":",S22),Y22)+IF(F82=CONCATENATE(P24,":",S24),Y24)+IF(F82=CONCATENATE(P26,":",S26),Y26)+IF(F82=CONCATENATE(P28,":",S28),Y28)+IF(F82=CONCATENATE(P30,":",S30),Y30)+IF(F82=CONCATENATE(P32,":",S32),Y32)+IF(F82=CONCATENATE(P34,":",S34),Y34)+IF(F82=CONCATENATE(P36,":",S36),Y36)+IF(F82=CONCATENATE(P36,":",S36),Y36)</f>
        <v>0</v>
      </c>
      <c r="H82" s="36"/>
    </row>
    <row r="83" spans="2:8" ht="15" x14ac:dyDescent="0.3">
      <c r="B83" s="34"/>
      <c r="C83" s="35"/>
      <c r="D83" s="35"/>
      <c r="E83" s="35"/>
      <c r="F83" s="41" t="s">
        <v>272</v>
      </c>
      <c r="G83" s="75">
        <f>IF(F83=CONCATENATE(P14,":",S14),Y14)+IF(F83=CONCATENATE(P16,":",S16),Y16)+IF(F83=CONCATENATE(P18,":",S18),Y18)+IF(F83=CONCATENATE(P20,":",S20),Y20)+IF(F83=CONCATENATE(P22,":",S22),Y22)+IF(F83=CONCATENATE(P24,":",S24),Y24)+IF(F83=CONCATENATE(P26,":",S26),Y26)+IF(F83=CONCATENATE(P28,":",S28),Y28)+IF(F83=CONCATENATE(P30,":",S30),Y30)+IF(F83=CONCATENATE(P32,":",S32),Y32)+IF(F83=CONCATENATE(P34,":",S34),Y34)+IF(F83=CONCATENATE(P36,":",S36),Y36)+IF(F83=CONCATENATE(P36,":",S36),Y36)</f>
        <v>0</v>
      </c>
      <c r="H83" s="36"/>
    </row>
    <row r="84" spans="2:8" ht="15" x14ac:dyDescent="0.3">
      <c r="B84" s="34"/>
      <c r="C84" s="35"/>
      <c r="D84" s="35"/>
      <c r="E84" s="35"/>
      <c r="F84" s="41" t="s">
        <v>273</v>
      </c>
      <c r="G84" s="75">
        <f>IF(F84=CONCATENATE(P14,":",S14),Y14)+IF(F84=CONCATENATE(P16,":",S16),Y16)+IF(F84=CONCATENATE(P18,":",S18),Y18)+IF(F84=CONCATENATE(P20,":",S20),Y20)+IF(F84=CONCATENATE(P22,":",S22),Y22)+IF(F84=CONCATENATE(P24,":",S24),Y24)+IF(F84=CONCATENATE(P26,":",S26),Y26)+IF(F84=CONCATENATE(P28,":",S28),Y28)+IF(F84=CONCATENATE(P30,":",S30),Y30)+IF(F84=CONCATENATE(P32,":",S32),Y32)+IF(F84=CONCATENATE(P34,":",S34),Y34)+IF(F84=CONCATENATE(P36,":",S36),Y36)+IF(F84=CONCATENATE(P36,":",S36),Y36)</f>
        <v>0</v>
      </c>
      <c r="H84" s="36"/>
    </row>
    <row r="85" spans="2:8" ht="15" x14ac:dyDescent="0.3">
      <c r="B85" s="34"/>
      <c r="C85" s="35"/>
      <c r="D85" s="35"/>
      <c r="E85" s="35"/>
      <c r="F85" s="41" t="s">
        <v>274</v>
      </c>
      <c r="G85" s="75">
        <f>IF(F85=CONCATENATE(P14,":",S14),Y14)+IF(F85=CONCATENATE(P16,":",S16),Y16)+IF(F85=CONCATENATE(P18,":",S18),Y18)+IF(F85=CONCATENATE(P20,":",S20),Y20)+IF(F85=CONCATENATE(P22,":",S22),Y22)+IF(F85=CONCATENATE(P24,":",S24),Y24)+IF(F85=CONCATENATE(P26,":",S26),Y26)+IF(F85=CONCATENATE(P28,":",S28),Y28)+IF(F85=CONCATENATE(P30,":",S30),Y30)+IF(F85=CONCATENATE(P32,":",S32),Y32)+IF(F85=CONCATENATE(P34,":",S34),Y34)+IF(F85=CONCATENATE(P36,":",S36),Y36)+IF(F85=CONCATENATE(P36,":",S36),Y36)</f>
        <v>0</v>
      </c>
      <c r="H85" s="36"/>
    </row>
    <row r="86" spans="2:8" ht="15" x14ac:dyDescent="0.3">
      <c r="B86" s="37"/>
      <c r="C86" s="38"/>
      <c r="D86" s="38"/>
      <c r="E86" s="38"/>
      <c r="F86" s="42" t="s">
        <v>275</v>
      </c>
      <c r="G86" s="76">
        <f>IF(F86=CONCATENATE(P14,":",S14),Y14)+IF(F86=CONCATENATE(P16,":",S16),Y16)+IF(F86=CONCATENATE(P18,":",S18),Y18)+IF(F86=CONCATENATE(P20,":",S20),Y20)+IF(F86=CONCATENATE(P22,":",S22),Y22)+IF(F86=CONCATENATE(P24,":",S24),Y24)+IF(F86=CONCATENATE(P26,":",S26),Y26)+IF(F86=CONCATENATE(P28,":",S28),Y28)+IF(F86=CONCATENATE(P30,":",S30),Y30)+IF(F86=CONCATENATE(P32,":",S32),Y32)+IF(F86=CONCATENATE(P34,":",S34),Y34)+IF(F86=CONCATENATE(P36,":",S36),Y36)+IF(F86=CONCATENATE(P36,":",S36),Y36)</f>
        <v>0</v>
      </c>
      <c r="H86" s="39"/>
    </row>
    <row r="89" spans="2:8" ht="15" x14ac:dyDescent="0.3">
      <c r="B89" s="65"/>
      <c r="C89" s="66"/>
      <c r="D89" s="66"/>
      <c r="E89" s="66"/>
      <c r="F89" s="78" t="s">
        <v>291</v>
      </c>
      <c r="G89" s="74">
        <f>IF( F89=CONCATENATE(G14,":",J14),Y14)+IF( F89=CONCATENATE(G16,":",J16),Y16)+IF( F89=CONCATENATE(G18,":",J18),Y18)+IF( F89=CONCATENATE(G20,":",J20),Y20)+IF( F89=CONCATENATE(G22,":",J22),Y22)+IF( F89=CONCATENATE(G24,":",J24),Y24)+IF( F89=CONCATENATE(G26,":",J26),Y26)+IF( F89=CONCATENATE(G28,":",J28),Y28)+IF( F89=CONCATENATE(P30,":",S30),Y30)+IF( F89=CONCATENATE(P32,":",S32),Y32)+IF( F89=CONCATENATE(P34,":",S34),Y34)+IF( F89=CONCATENATE(P36,":",S36),Y36)</f>
        <v>0</v>
      </c>
      <c r="H89" s="67"/>
    </row>
    <row r="90" spans="2:8" ht="15" x14ac:dyDescent="0.3">
      <c r="B90" s="68"/>
      <c r="C90" s="69"/>
      <c r="D90" s="69"/>
      <c r="E90" s="69"/>
      <c r="F90" s="77" t="s">
        <v>221</v>
      </c>
      <c r="G90" s="79">
        <f>IF( F90=CONCATENATE(G14,":",J14),Y14)+IF( F90=CONCATENATE(G16,":",J16),Y16)+IF( F90=CONCATENATE(G18,":",J18),Y18)+IF( F90=CONCATENATE(G20,":",J20),Y20)+IF( F90=CONCATENATE(G22,":",J22),Y22)+IF( F90=CONCATENATE(G24,":",J24),Y24)+IF( F90=CONCATENATE(G26,":",J26),Y26)+IF( F90=CONCATENATE(G28,":",J28),Y28)+IF( F90=CONCATENATE(P30,":",S30),Y30)+IF( F90=CONCATENATE(P32,":",S32),Y32)+IF( F90=CONCATENATE(P34,":",S34),Y34)+IF( F90=CONCATENATE(P36,":",S36),Y36)</f>
        <v>0</v>
      </c>
      <c r="H90" s="70"/>
    </row>
    <row r="91" spans="2:8" ht="15" x14ac:dyDescent="0.3">
      <c r="B91" s="68"/>
      <c r="C91" s="69"/>
      <c r="D91" s="69"/>
      <c r="E91" s="69"/>
      <c r="F91" s="77" t="s">
        <v>281</v>
      </c>
      <c r="G91" s="79">
        <f>IF( F91=CONCATENATE(G14,":",J14),Y14)+IF( F91=CONCATENATE(G16,":",J16),Y16)+IF( F91=CONCATENATE(G18,":",J18),Y18)+IF( F91=CONCATENATE(G20,":",J20),Y20)+IF( F91=CONCATENATE(G22,":",J22),Y22)+IF( F91=CONCATENATE(G24,":",J24),Y24)+IF( F91=CONCATENATE(G26,":",J26),Y26)+IF( F91=CONCATENATE(G28,":",J28),Y28)+IF( F91=CONCATENATE(P30,":",S30),Y30)+IF( F91=CONCATENATE(P32,":",S32),Y32)+IF( F91=CONCATENATE(P34,":",S34),Y34)+IF( F91=CONCATENATE(P36,":",S36),Y36)</f>
        <v>0</v>
      </c>
      <c r="H91" s="70"/>
    </row>
    <row r="92" spans="2:8" ht="15" x14ac:dyDescent="0.3">
      <c r="B92" s="68"/>
      <c r="C92" s="69"/>
      <c r="D92" s="69"/>
      <c r="E92" s="69"/>
      <c r="F92" s="77" t="s">
        <v>222</v>
      </c>
      <c r="G92" s="79">
        <f>IF( F92=CONCATENATE(G14,":",J14),Y14)+IF( F92=CONCATENATE(G16,":",J16),Y16)+IF( F92=CONCATENATE(G18,":",J18),Y18)+IF( F92=CONCATENATE(G20,":",J20),Y20)+IF( F92=CONCATENATE(G22,":",J22),Y22)+IF( F92=CONCATENATE(G24,":",J24),Y24)+IF( F92=CONCATENATE(G26,":",J26),Y26)+IF( F92=CONCATENATE(G28,":",J28),Y28)+IF( F92=CONCATENATE(P30,":",S30),Y30)+IF( F92=CONCATENATE(P32,":",S32),Y32)+IF( F92=CONCATENATE(P34,":",S34),Y34)+IF( F92=CONCATENATE(P36,":",S36),Y36)</f>
        <v>0</v>
      </c>
      <c r="H92" s="70"/>
    </row>
    <row r="93" spans="2:8" ht="15" x14ac:dyDescent="0.3">
      <c r="B93" s="68"/>
      <c r="C93" s="69"/>
      <c r="D93" s="69"/>
      <c r="E93" s="69"/>
      <c r="F93" s="77" t="s">
        <v>223</v>
      </c>
      <c r="G93" s="79">
        <f>IF( F93=CONCATENATE(G14,":",J14),Y14)+IF( F93=CONCATENATE(G16,":",J16),Y16)+IF( F93=CONCATENATE(G18,":",J18),Y18)+IF( F93=CONCATENATE(G20,":",J20),Y20)+IF( F93=CONCATENATE(G22,":",J22),Y22)+IF( F93=CONCATENATE(G24,":",J24),Y24)+IF( F93=CONCATENATE(G26,":",J26),Y26)+IF( F93=CONCATENATE(G28,":",J28),Y28)+IF( F93=CONCATENATE(P30,":",S30),Y30)+IF( F93=CONCATENATE(P32,":",S32),Y32)+IF( F93=CONCATENATE(P34,":",S34),Y34)+IF( F93=CONCATENATE(P36,":",S36),Y36)</f>
        <v>0</v>
      </c>
      <c r="H93" s="70"/>
    </row>
    <row r="94" spans="2:8" ht="15" x14ac:dyDescent="0.3">
      <c r="B94" s="68"/>
      <c r="C94" s="69"/>
      <c r="D94" s="69"/>
      <c r="E94" s="69"/>
      <c r="F94" s="77" t="s">
        <v>224</v>
      </c>
      <c r="G94" s="79">
        <f>IF( F94=CONCATENATE(G14,":",J14),Y14)+IF( F94=CONCATENATE(G16,":",J16),Y16)+IF( F94=CONCATENATE(G18,":",J18),Y18)+IF( F94=CONCATENATE(G20,":",J20),Y20)+IF( F94=CONCATENATE(G22,":",J22),Y22)+IF( F94=CONCATENATE(G24,":",J24),Y24)+IF( F94=CONCATENATE(G26,":",J26),Y26)+IF( F94=CONCATENATE(G28,":",J28),Y28)+IF( F94=CONCATENATE(P30,":",S30),Y30)+IF( F94=CONCATENATE(P32,":",S32),Y32)+IF( F94=CONCATENATE(P34,":",S34),Y34)+IF( F94=CONCATENATE(P36,":",S36),Y36)</f>
        <v>0</v>
      </c>
      <c r="H94" s="70"/>
    </row>
    <row r="95" spans="2:8" ht="15" x14ac:dyDescent="0.3">
      <c r="B95" s="68"/>
      <c r="C95" s="69"/>
      <c r="D95" s="69"/>
      <c r="E95" s="69"/>
      <c r="F95" s="77" t="s">
        <v>225</v>
      </c>
      <c r="G95" s="79">
        <f>IF( F95=CONCATENATE(G14,":",J14),Y14)+IF( F95=CONCATENATE(G16,":",J16),Y16)+IF( F95=CONCATENATE(G18,":",J18),Y18)+IF( F95=CONCATENATE(G20,":",J20),Y20)+IF( F95=CONCATENATE(G22,":",J22),Y22)+IF( F95=CONCATENATE(G24,":",J24),Y24)+IF( F95=CONCATENATE(G26,":",J26),Y26)+IF( F95=CONCATENATE(G28,":",J28),Y28)+IF( F95=CONCATENATE(P30,":",S30),Y30)+IF( F95=CONCATENATE(P32,":",S32),Y32)+IF( F95=CONCATENATE(P34,":",S34),Y34)+IF( F95=CONCATENATE(P36,":",S36),Y36)</f>
        <v>0</v>
      </c>
      <c r="H95" s="70"/>
    </row>
    <row r="96" spans="2:8" ht="15" x14ac:dyDescent="0.3">
      <c r="B96" s="68"/>
      <c r="C96" s="69"/>
      <c r="D96" s="69"/>
      <c r="E96" s="69"/>
      <c r="F96" s="77" t="s">
        <v>226</v>
      </c>
      <c r="G96" s="79">
        <f>IF( F96=CONCATENATE(G14,":",J14),Y14)+IF( F96=CONCATENATE(G16,":",J16),Y16)+IF( F96=CONCATENATE(G18,":",J18),Y18)+IF( F96=CONCATENATE(G20,":",J20),Y20)+IF( F96=CONCATENATE(G22,":",J22),Y22)+IF( F96=CONCATENATE(G24,":",J24),Y24)+IF( F96=CONCATENATE(G26,":",J26),Y26)+IF( F96=CONCATENATE(G28,":",J28),Y28)+IF( F96=CONCATENATE(P30,":",S30),Y30)+IF( F96=CONCATENATE(P32,":",S32),Y32)+IF( F96=CONCATENATE(P34,":",S34),Y34)+IF( F96=CONCATENATE(P36,":",S36),Y36)</f>
        <v>0</v>
      </c>
      <c r="H96" s="70"/>
    </row>
    <row r="97" spans="2:8" ht="15" x14ac:dyDescent="0.3">
      <c r="B97" s="68"/>
      <c r="C97" s="69"/>
      <c r="D97" s="69"/>
      <c r="E97" s="69"/>
      <c r="F97" s="77" t="s">
        <v>309</v>
      </c>
      <c r="G97" s="79">
        <f>IF( F97=CONCATENATE(G14,":",J14),Y14)+IF( F97=CONCATENATE(G16,":",J16),Y16)+IF( F97=CONCATENATE(G18,":",J18),Y18)+IF( F97=CONCATENATE(G20,":",J20),Y20)+IF( F97=CONCATENATE(G22,":",J22),Y22)+IF( F97=CONCATENATE(G24,":",J24),Y24)+IF( F97=CONCATENATE(G26,":",J26),Y26)+IF( F97=CONCATENATE(G28,":",J28),Y28)+IF( F97=CONCATENATE(P30,":",S30),Y30)+IF( F97=CONCATENATE(P32,":",S32),Y32)+IF( F97=CONCATENATE(P34,":",S34),Y34)+IF( F97=CONCATENATE(P36,":",S36),Y36)</f>
        <v>0</v>
      </c>
      <c r="H97" s="70"/>
    </row>
    <row r="98" spans="2:8" ht="15" x14ac:dyDescent="0.3">
      <c r="B98" s="68"/>
      <c r="C98" s="69"/>
      <c r="D98" s="69"/>
      <c r="E98" s="69"/>
      <c r="F98" s="77" t="s">
        <v>307</v>
      </c>
      <c r="G98" s="79">
        <f>IF( F98=CONCATENATE(G14,":",J14),Y14)+IF( F98=CONCATENATE(G16,":",J16),Y16)+IF( F98=CONCATENATE(G18,":",J18),Y18)+IF( F98=CONCATENATE(G20,":",J20),Y20)+IF( F98=CONCATENATE(G22,":",J22),Y22)+IF( F98=CONCATENATE(G24,":",J24),Y24)+IF( F98=CONCATENATE(G26,":",J26),Y26)+IF( F98=CONCATENATE(G28,":",J28),Y28)+IF( F98=CONCATENATE(P30,":",S30),Y30)+IF( F98=CONCATENATE(P32,":",S32),Y32)+IF( F98=CONCATENATE(P34,":",S34),Y34)+IF( F98=CONCATENATE(P36,":",S36),Y36)</f>
        <v>0</v>
      </c>
      <c r="H98" s="70"/>
    </row>
    <row r="99" spans="2:8" ht="15" x14ac:dyDescent="0.3">
      <c r="B99" s="68"/>
      <c r="C99" s="69"/>
      <c r="D99" s="69"/>
      <c r="E99" s="69"/>
      <c r="F99" s="77" t="s">
        <v>325</v>
      </c>
      <c r="G99" s="79">
        <f>IF( F99=CONCATENATE(G14,":",J14),Y14)+IF( F99=CONCATENATE(G16,":",J16),Y16)+IF( F99=CONCATENATE(G18,":",J18),Y18)+IF( F99=CONCATENATE(G20,":",J20),Y20)+IF( F99=CONCATENATE(G22,":",J22),Y22)+IF( F99=CONCATENATE(G24,":",J24),Y24)+IF( F99=CONCATENATE(G26,":",J26),Y26)+IF( F99=CONCATENATE(G28,":",J28),Y28)+IF( F99=CONCATENATE(P30,":",S30),Y30)+IF( F99=CONCATENATE(P32,":",S32),Y32)+IF( F99=CONCATENATE(P34,":",S34),Y34)+IF( F99=CONCATENATE(P36,":",S36),Y36)</f>
        <v>0</v>
      </c>
      <c r="H99" s="70"/>
    </row>
    <row r="100" spans="2:8" ht="15" x14ac:dyDescent="0.3">
      <c r="B100" s="68"/>
      <c r="C100" s="69"/>
      <c r="D100" s="69"/>
      <c r="E100" s="69"/>
      <c r="F100" s="77" t="s">
        <v>227</v>
      </c>
      <c r="G100" s="79">
        <f>IF(F100=CONCATENATE(G14,":",J14),Y14)+IF(F100=CONCATENATE(G16,":",J16),Y16)+IF(F100=CONCATENATE(G18,":",J18),Y18)+IF(F100=CONCATENATE(G20,":",J20),Y20)+IF(F100=CONCATENATE(G22,":",J22),Y22)+IF(F100=CONCATENATE(G24,":",J24),Y24)+IF(F100=CONCATENATE(G26,":",J26),Y26)+IF(F100=CONCATENATE(G28,":",J28),Y28)+IF(F100=CONCATENATE(P30,":",S30),Y30)+IF(F100=CONCATENATE(P32,":",S32),Y32)+IF(F100=CONCATENATE(P34,":",S34),Y34)+IF(F100=CONCATENATE(P36,":",S36),Y36)</f>
        <v>0</v>
      </c>
      <c r="H100" s="70"/>
    </row>
    <row r="101" spans="2:8" ht="15" x14ac:dyDescent="0.3">
      <c r="B101" s="68"/>
      <c r="C101" s="69"/>
      <c r="D101" s="69"/>
      <c r="E101" s="69"/>
      <c r="F101" s="77" t="s">
        <v>228</v>
      </c>
      <c r="G101" s="79">
        <f>IF(F101=CONCATENATE(G14,":",J14),Y14)+IF(F101=CONCATENATE(G16,":",J16),Y16)+IF(F101=CONCATENATE(G18,":",J18),Y18)+IF(F101=CONCATENATE(G20,":",J20),Y20)+IF(F101=CONCATENATE(G22,":",J22),Y22)+IF(F101=CONCATENATE(G24,":",J24),Y24)+IF(F101=CONCATENATE(G26,":",J26),Y26)+IF(F101=CONCATENATE(G28,":",J28),Y28)+IF(F101=CONCATENATE(P30,":",S30),Y30)+IF(F101=CONCATENATE(P32,":",S32),Y32)+IF(F101=CONCATENATE(P34,":",S34),Y34)+IF(F101=CONCATENATE(P36,":",S36),Y36)</f>
        <v>0</v>
      </c>
      <c r="H101" s="70"/>
    </row>
    <row r="102" spans="2:8" ht="15" x14ac:dyDescent="0.3">
      <c r="B102" s="68"/>
      <c r="C102" s="69"/>
      <c r="D102" s="69"/>
      <c r="E102" s="69"/>
      <c r="F102" s="77" t="s">
        <v>229</v>
      </c>
      <c r="G102" s="79">
        <f>IF(F102=CONCATENATE(G14,":",J14),Y14)+IF(F102=CONCATENATE(G16,":",J16),Y16)+IF(F102=CONCATENATE(G18,":",J18),Y18)+IF(F102=CONCATENATE(G20,":",J20),Y20)+IF(F102=CONCATENATE(G22,":",J22),Y22)+IF(F102=CONCATENATE(G24,":",J24),Y24)+IF(F102=CONCATENATE(G26,":",J26),Y26)+IF(F102=CONCATENATE(G28,":",J28),Y28)+IF(F102=CONCATENATE(P30,":",S30),Y30)+IF(F102=CONCATENATE(P32,":",S32),Y32)+IF(F102=CONCATENATE(P34,":",S34),Y34)+IF(F102=CONCATENATE(P36,":",S36),Y36)</f>
        <v>0</v>
      </c>
      <c r="H102" s="70"/>
    </row>
    <row r="103" spans="2:8" s="64" customFormat="1" ht="15" x14ac:dyDescent="0.3">
      <c r="B103" s="68"/>
      <c r="C103" s="69"/>
      <c r="D103" s="69"/>
      <c r="E103" s="69"/>
      <c r="F103" s="77" t="s">
        <v>230</v>
      </c>
      <c r="G103" s="79">
        <f>IF(F103=CONCATENATE(G14,":",J14),Y14)+IF(F103=CONCATENATE(G16,":",J16),Y16)+IF(F103=CONCATENATE(G18,":",J18),Y18)+IF(F103=CONCATENATE(G20,":",J20),Y20)+IF(F103=CONCATENATE(G22,":",J22),Y22)+IF(F103=CONCATENATE(G24,":",J24),Y24)+IF(F103=CONCATENATE(G26,":",J26),Y26)+IF(F103=CONCATENATE(G28,":",J28),Y28)+IF(F103=CONCATENATE(P30,":",S30),Y30)+IF(F103=CONCATENATE(P32,":",S32),Y32)+IF(F103=CONCATENATE(P34,":",S34),Y34)+IF(F103=CONCATENATE(P36,":",S36),Y36)</f>
        <v>0</v>
      </c>
      <c r="H103" s="70"/>
    </row>
    <row r="104" spans="2:8" ht="15" x14ac:dyDescent="0.3">
      <c r="B104" s="68"/>
      <c r="C104" s="69"/>
      <c r="D104" s="69"/>
      <c r="E104" s="69"/>
      <c r="F104" s="77" t="s">
        <v>231</v>
      </c>
      <c r="G104" s="79">
        <f>IF(F104=CONCATENATE(G14,":",J14),Y14)+IF(F104=CONCATENATE(G16,":",J16),Y16)+IF(F104=CONCATENATE(G18,":",J18),Y18)+IF(F104=CONCATENATE(G20,":",J20),Y20)+IF(F104=CONCATENATE(G22,":",J22),Y22)+IF(F104=CONCATENATE(G24,":",J24),Y24)+IF(F104=CONCATENATE(G26,":",J26),Y26)+IF(F104=CONCATENATE(G28,":",J28),Y28)+IF(F104=CONCATENATE(P30,":",S30),Y30)+IF(F104=CONCATENATE(P32,":",S32),Y32)+IF(F104=CONCATENATE(P34,":",S34),Y34)+IF(F104=CONCATENATE(P36,":",S36),Y36)</f>
        <v>0</v>
      </c>
      <c r="H104" s="70"/>
    </row>
    <row r="105" spans="2:8" ht="15" x14ac:dyDescent="0.3">
      <c r="B105" s="68"/>
      <c r="C105" s="69"/>
      <c r="D105" s="69"/>
      <c r="E105" s="69"/>
      <c r="F105" s="77" t="s">
        <v>232</v>
      </c>
      <c r="G105" s="79">
        <f>IF(F105=CONCATENATE(G14,":",J14),Y14)+IF(F105=CONCATENATE(G16,":",J16),Y16)+IF(F105=CONCATENATE(G18,":",J18),Y18)+IF(F105=CONCATENATE(G20,":",J20),Y20)+IF(F105=CONCATENATE(G22,":",J22),Y22)+IF(F105=CONCATENATE(G24,":",J24),Y24)+IF(F105=CONCATENATE(G26,":",J26),Y26)+IF(F105=CONCATENATE(G28,":",J28),Y28)+IF(F105=CONCATENATE(P30,":",S30),Y30)+IF(F105=CONCATENATE(P32,":",S32),Y32)+IF(F105=CONCATENATE(P34,":",S34),Y34)+IF(F105=CONCATENATE(P36,":",S36),Y36)</f>
        <v>0</v>
      </c>
      <c r="H105" s="70"/>
    </row>
    <row r="106" spans="2:8" ht="15" x14ac:dyDescent="0.3">
      <c r="B106" s="68"/>
      <c r="C106" s="69"/>
      <c r="D106" s="69"/>
      <c r="E106" s="69"/>
      <c r="F106" s="77" t="s">
        <v>300</v>
      </c>
      <c r="G106" s="79">
        <f>IF(F106=CONCATENATE(G14,":",J14),Y14)+IF(F106=CONCATENATE(G16,":",J16),Y16)+IF(F106=CONCATENATE(G18,":",J18),Y18)+IF(F106=CONCATENATE(G20,":",J20),Y20)+IF(F106=CONCATENATE(G22,":",J22),Y22)+IF(F106=CONCATENATE(G24,":",J24),Y24)+IF(F106=CONCATENATE(G26,":",J26),Y26)+IF(F106=CONCATENATE(G28,":",J28),Y28)+IF(F106=CONCATENATE(P30,":",S30),Y30)+IF(F106=CONCATENATE(P32,":",S32),Y32)+IF(F106=CONCATENATE(P34,":",S34),Y34)+IF(F106=CONCATENATE(P36,":",S36),Y36)</f>
        <v>0</v>
      </c>
      <c r="H106" s="70"/>
    </row>
    <row r="107" spans="2:8" ht="15" x14ac:dyDescent="0.3">
      <c r="B107" s="68"/>
      <c r="C107" s="69"/>
      <c r="D107" s="69"/>
      <c r="E107" s="69"/>
      <c r="F107" s="77" t="s">
        <v>286</v>
      </c>
      <c r="G107" s="79">
        <f>IF(F107=CONCATENATE(G14,":",J14),Y14)+IF(F107=CONCATENATE(G16,":",J16),Y16)+IF(F107=CONCATENATE(G18,":",J18),Y18)+IF(F107=CONCATENATE(G20,":",J20),Y20)+IF(F107=CONCATENATE(G22,":",J22),Y22)+IF(F107=CONCATENATE(G24,":",J24),Y24)+IF(F107=CONCATENATE(G26,":",J26),Y26)+IF(F107=CONCATENATE(G28,":",J28),Y28)+IF(F107=CONCATENATE(P30,":",S30),Y30)+IF(F107=CONCATENATE(P32,":",S32),Y32)+IF(F107=CONCATENATE(P34,":",S34),Y34)+IF(F107=CONCATENATE(P36,":",S36),Y36)</f>
        <v>0</v>
      </c>
      <c r="H107" s="70"/>
    </row>
    <row r="108" spans="2:8" ht="15" x14ac:dyDescent="0.3">
      <c r="B108" s="68"/>
      <c r="C108" s="69"/>
      <c r="D108" s="69"/>
      <c r="E108" s="69"/>
      <c r="F108" s="77" t="s">
        <v>233</v>
      </c>
      <c r="G108" s="79">
        <f>IF(F108=CONCATENATE(G14,":",J14),Y14)+IF(F108=CONCATENATE(G16,":",J16),Y16)+IF(F108=CONCATENATE(G18,":",J18),Y18)+IF(F108=CONCATENATE(G20,":",J20),Y20)+IF(F108=CONCATENATE(G22,":",J22),Y22)+IF(F108=CONCATENATE(G24,":",J24),Y24)+IF(F108=CONCATENATE(G26,":",J26),Y26)+IF(F108=CONCATENATE(G28,":",J28),Y28)+IF(F108=CONCATENATE(P30,":",S30),Y30)+IF(F108=CONCATENATE(P32,":",S32),Y32)+IF(F108=CONCATENATE(P34,":",S34),Y34)+IF(F108=CONCATENATE(P36,":",S36),Y36)</f>
        <v>0</v>
      </c>
      <c r="H108" s="70"/>
    </row>
    <row r="109" spans="2:8" ht="15" x14ac:dyDescent="0.3">
      <c r="B109" s="68"/>
      <c r="C109" s="69"/>
      <c r="D109" s="69"/>
      <c r="E109" s="69"/>
      <c r="F109" s="77" t="s">
        <v>292</v>
      </c>
      <c r="G109" s="79">
        <f>IF(F109=CONCATENATE(G14,":",J14),Y14)+IF(F109=CONCATENATE(G16,":",J16),Y16)+IF(F109=CONCATENATE(G18,":",J18),Y18)+IF(F109=CONCATENATE(G20,":",J20),Y20)+IF(F109=CONCATENATE(G22,":",J22),Y22)+IF(F109=CONCATENATE(G24,":",J24),Y24)+IF(F109=CONCATENATE(G26,":",J26),Y26)+IF(F109=CONCATENATE(G28,":",J28),Y28)+IF(F109=CONCATENATE(P30,":",S30),Y30)+IF(F109=CONCATENATE(P32,":",S32),Y32)+IF(F109=CONCATENATE(P34,":",S34),Y34)+IF(F109=CONCATENATE(P36,":",S36),Y36)</f>
        <v>0</v>
      </c>
      <c r="H109" s="70"/>
    </row>
    <row r="110" spans="2:8" ht="15" x14ac:dyDescent="0.3">
      <c r="B110" s="68"/>
      <c r="C110" s="69"/>
      <c r="D110" s="69"/>
      <c r="E110" s="69"/>
      <c r="F110" s="77" t="s">
        <v>234</v>
      </c>
      <c r="G110" s="79">
        <f>IF(F110=CONCATENATE(G14,":",J14),Y14)+IF(F110=CONCATENATE(G16,":",J16),Y16)+IF(F110=CONCATENATE(G18,":",J18),Y18)+IF(F110=CONCATENATE(G20,":",J20),Y20)+IF(F110=CONCATENATE(G22,":",J22),Y22)+IF(F110=CONCATENATE(G24,":",J24),Y24)+IF(F110=CONCATENATE(G26,":",J26),Y26)+IF(F110=CONCATENATE(G28,":",J28),Y28)+IF(F110=CONCATENATE(P30,":",S30),Y30)+IF(F110=CONCATENATE(P32,":",S32),Y32)+IF(F110=CONCATENATE(P34,":",S34),Y34)+IF(F110=CONCATENATE(P36,":",S36),Y36)</f>
        <v>0</v>
      </c>
      <c r="H110" s="70"/>
    </row>
    <row r="111" spans="2:8" ht="15" x14ac:dyDescent="0.3">
      <c r="B111" s="68"/>
      <c r="C111" s="69"/>
      <c r="D111" s="69"/>
      <c r="E111" s="69"/>
      <c r="F111" s="77" t="s">
        <v>235</v>
      </c>
      <c r="G111" s="79">
        <f>IF(F111=CONCATENATE(G14,":",J14),Y14)+IF(F111=CONCATENATE(G16,":",J16),Y16)+IF(F111=CONCATENATE(G18,":",J18),Y18)+IF(F111=CONCATENATE(G20,":",J20),Y20)+IF(F111=CONCATENATE(G22,":",J22),Y22)+IF(F111=CONCATENATE(G24,":",J24),Y24)+IF(F111=CONCATENATE(G26,":",J26),Y26)+IF(F111=CONCATENATE(G28,":",J28),Y28)+IF(F111=CONCATENATE(P30,":",S30),Y30)+IF(F111=CONCATENATE(P32,":",S32),Y32)+IF(F111=CONCATENATE(P34,":",S34),Y34)+IF(F111=CONCATENATE(P36,":",S36),Y36)</f>
        <v>0</v>
      </c>
      <c r="H111" s="70"/>
    </row>
    <row r="112" spans="2:8" ht="15" x14ac:dyDescent="0.3">
      <c r="B112" s="68"/>
      <c r="C112" s="69"/>
      <c r="D112" s="69"/>
      <c r="E112" s="69"/>
      <c r="F112" s="77" t="s">
        <v>236</v>
      </c>
      <c r="G112" s="79">
        <f>IF(F112=CONCATENATE(G14,":",J14),Y14)+IF(F112=CONCATENATE(G16,":",J16),Y16)+IF(F112=CONCATENATE(G18,":",J18),Y18)+IF(F112=CONCATENATE(G20,":",J20),Y20)+IF(F112=CONCATENATE(G22,":",J22),Y22)+IF(F112=CONCATENATE(G24,":",J24),Y24)+IF(F112=CONCATENATE(G26,":",J26),Y26)+IF(F112=CONCATENATE(G28,":",J28),Y28)+IF(F112=CONCATENATE(P30,":",S30),Y30)+IF(F112=CONCATENATE(P32,":",S32),Y32)+IF(F112=CONCATENATE(P34,":",S34),Y34)+IF(F112=CONCATENATE(P36,":",S36),Y36)</f>
        <v>0</v>
      </c>
      <c r="H112" s="70"/>
    </row>
    <row r="113" spans="2:8" ht="15" x14ac:dyDescent="0.3">
      <c r="B113" s="68"/>
      <c r="C113" s="69"/>
      <c r="D113" s="69"/>
      <c r="E113" s="69"/>
      <c r="F113" s="77" t="s">
        <v>237</v>
      </c>
      <c r="G113" s="79">
        <f>IF(F113=CONCATENATE(G14,":",J14),Y14)+IF(F113=CONCATENATE(G16,":",J16),Y16)+IF(F113=CONCATENATE(G18,":",J18),Y18)+IF(F113=CONCATENATE(G20,":",J20),Y20)+IF(F113=CONCATENATE(G22,":",J22),Y22)+IF(F113=CONCATENATE(G24,":",J24),Y24)+IF(F113=CONCATENATE(G26,":",J26),Y26)+IF(F113=CONCATENATE(G28,":",J28),Y28)+IF(F113=CONCATENATE(P30,":",S30),Y30)+IF(F113=CONCATENATE(P32,":",S32),Y32)+IF(F113=CONCATENATE(P34,":",S34),Y34)+IF(F113=CONCATENATE(P36,":",S36),Y36)</f>
        <v>6</v>
      </c>
      <c r="H113" s="70"/>
    </row>
    <row r="114" spans="2:8" ht="15" x14ac:dyDescent="0.3">
      <c r="B114" s="68"/>
      <c r="C114" s="69"/>
      <c r="D114" s="69"/>
      <c r="E114" s="69"/>
      <c r="F114" s="77" t="s">
        <v>238</v>
      </c>
      <c r="G114" s="79">
        <f>IF(F114=CONCATENATE(G14,":",J14),Y14)+IF(F114=CONCATENATE(G16,":",J16),Y16)+IF(F114=CONCATENATE(G18,":",J18),Y18)+IF(F114=CONCATENATE(G20,":",J20),Y20)+IF(F114=CONCATENATE(G22,":",J22),Y22)+IF(F114=CONCATENATE(G24,":",J24),Y24)+IF(F114=CONCATENATE(G26,":",J26),Y26)+IF(F114=CONCATENATE(G28,":",J28),Y28)+IF(F114=CONCATENATE(P30,":",S30),Y30)+IF(F114=CONCATENATE(P32,":",S32),Y32)+IF(F114=CONCATENATE(P34,":",S34),Y34)+IF(F114=CONCATENATE(P36,":",S36),Y36)</f>
        <v>0</v>
      </c>
      <c r="H114" s="70"/>
    </row>
    <row r="115" spans="2:8" ht="15" x14ac:dyDescent="0.3">
      <c r="B115" s="68"/>
      <c r="C115" s="69"/>
      <c r="D115" s="69"/>
      <c r="E115" s="69"/>
      <c r="F115" s="77" t="s">
        <v>239</v>
      </c>
      <c r="G115" s="79">
        <f>IF(F115=CONCATENATE(G14,":",J14),Y14)+IF(F115=CONCATENATE(G16,":",J16),Y16)+IF(F115=CONCATENATE(G18,":",J18),Y18)+IF(F115=CONCATENATE(G20,":",J20),Y20)+IF(F115=CONCATENATE(G22,":",J22),Y22)+IF(F115=CONCATENATE(G24,":",J24),Y24)+IF(F115=CONCATENATE(G26,":",J26),Y26)+IF(F115=CONCATENATE(G28,":",J28),Y28)+IF(F115=CONCATENATE(P30,":",S30),Y30)+IF(F115=CONCATENATE(P32,":",S32),Y32)+IF(F115=CONCATENATE(P34,":",S34),Y34)+IF(F115=CONCATENATE(P36,":",S36),Y36)</f>
        <v>0</v>
      </c>
      <c r="H115" s="70"/>
    </row>
    <row r="116" spans="2:8" ht="15" x14ac:dyDescent="0.3">
      <c r="B116" s="68"/>
      <c r="C116" s="69"/>
      <c r="D116" s="69"/>
      <c r="E116" s="69"/>
      <c r="F116" s="77" t="s">
        <v>321</v>
      </c>
      <c r="G116" s="79">
        <f>IF(F116=CONCATENATE(G14,":",J14),Y14)+IF(F116=CONCATENATE(G16,":",J16),Y16)+IF(F116=CONCATENATE(G18,":",J18),Y18)+IF(F116=CONCATENATE(G20,":",J20),Y20)+IF(F116=CONCATENATE(G22,":",J22),Y22)+IF(F116=CONCATENATE(G24,":",J24),Y24)+IF(F116=CONCATENATE(G26,":",J26),Y26)+IF(F116=CONCATENATE(G28,":",J28),Y28)+IF(F116=CONCATENATE(P30,":",S30),Y30)+IF(F116=CONCATENATE(P32,":",S32),Y32)+IF(F116=CONCATENATE(P34,":",S34),Y34)+IF(F116=CONCATENATE(P36,":",S36),Y36)</f>
        <v>0</v>
      </c>
      <c r="H116" s="70"/>
    </row>
    <row r="117" spans="2:8" ht="15" x14ac:dyDescent="0.3">
      <c r="B117" s="68"/>
      <c r="C117" s="69"/>
      <c r="D117" s="69"/>
      <c r="E117" s="69"/>
      <c r="F117" s="77" t="s">
        <v>240</v>
      </c>
      <c r="G117" s="79">
        <f>IF(F117=CONCATENATE(G14,":",J14),Y14)+IF(F117=CONCATENATE(G16,":",J16),Y16)+IF(F117=CONCATENATE(G18,":",J18),Y18)+IF(F117=CONCATENATE(G20,":",J20),Y20)+IF(F117=CONCATENATE(G22,":",J22),Y22)+IF(F117=CONCATENATE(G24,":",J24),Y24)+IF(F117=CONCATENATE(G26,":",J26),Y26)+IF(F117=CONCATENATE(G28,":",J28),Y28)+IF(F117=CONCATENATE(P30,":",S30),Y30)+IF(F117=CONCATENATE(P32,":",S32),Y32)+IF(F117=CONCATENATE(P34,":",S34),Y34)+IF(F117=CONCATENATE(P36,":",S36),Y36)</f>
        <v>0</v>
      </c>
      <c r="H117" s="70"/>
    </row>
    <row r="118" spans="2:8" ht="15" x14ac:dyDescent="0.3">
      <c r="B118" s="68"/>
      <c r="C118" s="69"/>
      <c r="D118" s="69"/>
      <c r="E118" s="69"/>
      <c r="F118" s="77" t="s">
        <v>305</v>
      </c>
      <c r="G118" s="79">
        <f>IF(F118=CONCATENATE(G14,":",J14),Y14)+IF(F118=CONCATENATE(G16,":",J16),Y16)+IF(F118=CONCATENATE(G18,":",J18),Y18)+IF(F118=CONCATENATE(G20,":",J20),Y20)+IF(F118=CONCATENATE(G22,":",J22),Y22)+IF(F118=CONCATENATE(G24,":",J24),Y24)+IF(F118=CONCATENATE(G26,":",J26),Y26)+IF(F118=CONCATENATE(G28,":",J28),Y28)+IF(F118=CONCATENATE(P30,":",S30),Y30)+IF(F118=CONCATENATE(P32,":",S32),Y32)+IF(F118=CONCATENATE(P34,":",S34),Y34)+IF(F118=CONCATENATE(P36,":",S36),Y36)</f>
        <v>0</v>
      </c>
      <c r="H118" s="70"/>
    </row>
    <row r="119" spans="2:8" ht="15" x14ac:dyDescent="0.3">
      <c r="B119" s="68"/>
      <c r="C119" s="69"/>
      <c r="D119" s="69"/>
      <c r="E119" s="69"/>
      <c r="F119" s="77" t="s">
        <v>244</v>
      </c>
      <c r="G119" s="79">
        <f>IF(F119=CONCATENATE(G14,":",J14),Y14)+IF(F119=CONCATENATE(G16,":",J16),Y16)+IF(F119=CONCATENATE(G18,":",J18),Y18)+IF(F119=CONCATENATE(G20,":",J20),Y20)+IF(F119=CONCATENATE(G22,":",J22),Y22)+IF(F119=CONCATENATE(G24,":",J24),Y24)+IF(F119=CONCATENATE(G26,":",J26),Y26)+IF(F119=CONCATENATE(G28,":",J28),Y28)+IF(F119=CONCATENATE(P30,":",S30),Y30)+IF(F119=CONCATENATE(P32,":",S32),Y32)+IF(F119=CONCATENATE(P34,":",S34),Y34)+IF(F119=CONCATENATE(P36,":",S36),Y36)</f>
        <v>0</v>
      </c>
      <c r="H119" s="70"/>
    </row>
    <row r="120" spans="2:8" ht="15" x14ac:dyDescent="0.3">
      <c r="B120" s="68"/>
      <c r="C120" s="69"/>
      <c r="D120" s="69"/>
      <c r="E120" s="69"/>
      <c r="F120" s="77" t="s">
        <v>241</v>
      </c>
      <c r="G120" s="79">
        <f>IF(F120=CONCATENATE(G14,":",J14),Y14)+IF(F120=CONCATENATE(G16,":",J16),Y16)+IF(F120=CONCATENATE(G18,":",J18),Y18)+IF(F120=CONCATENATE(G20,":",J20),Y20)+IF(F120=CONCATENATE(G22,":",J22),Y22)+IF(F120=CONCATENATE(G24,":",J24),Y24)+IF(F120=CONCATENATE(G26,":",J26),Y26)+IF(F120=CONCATENATE(G28,":",J28),Y28)+IF(F120=CONCATENATE(P30,":",S30),Y30)+IF(F120=CONCATENATE(P32,":",S32),Y32)+IF(F120=CONCATENATE(P34,":",S34),Y34)+IF(F120=CONCATENATE(P36,":",S36),Y36)</f>
        <v>0</v>
      </c>
      <c r="H120" s="70"/>
    </row>
    <row r="121" spans="2:8" ht="15" x14ac:dyDescent="0.3">
      <c r="B121" s="68"/>
      <c r="C121" s="69"/>
      <c r="D121" s="69"/>
      <c r="E121" s="69"/>
      <c r="F121" s="77" t="s">
        <v>317</v>
      </c>
      <c r="G121" s="79">
        <f>IF(F121=CONCATENATE(G14,":",J14),Y14)+IF(F121=CONCATENATE(G16,":",J16),Y16)+IF(F121=CONCATENATE(G18,":",J18),Y18)+IF(F121=CONCATENATE(G20,":",J20),Y20)+IF(F121=CONCATENATE(G22,":",J22),Y22)+IF(F121=CONCATENATE(G24,":",J24),Y24)+IF(F121=CONCATENATE(G26,":",J26),Y26)+IF(F121=CONCATENATE(G28,":",J28),Y28)+IF(F121=CONCATENATE(P30,":",S30),Y30)+IF(F121=CONCATENATE(P32,":",S32),Y32)+IF(F121=CONCATENATE(P34,":",S34),Y34)+IF(F121=CONCATENATE(P36,":",S36),Y36)</f>
        <v>0</v>
      </c>
      <c r="H121" s="70"/>
    </row>
    <row r="122" spans="2:8" ht="15" x14ac:dyDescent="0.3">
      <c r="B122" s="68"/>
      <c r="C122" s="69"/>
      <c r="D122" s="69"/>
      <c r="E122" s="69"/>
      <c r="F122" s="77" t="s">
        <v>242</v>
      </c>
      <c r="G122" s="79">
        <f>IF(F122=CONCATENATE(G14,":",J14),Y14)+IF(F122=CONCATENATE(G16,":",J16),Y16)+IF(F122=CONCATENATE(G18,":",J18),Y18)+IF(F122=CONCATENATE(G20,":",J20),Y20)+IF(F122=CONCATENATE(G22,":",J22),Y22)+IF(F122=CONCATENATE(G24,":",J24),Y24)+IF(F122=CONCATENATE(G26,":",J26),Y26)+IF(F122=CONCATENATE(G28,":",J28),Y28)+IF(F122=CONCATENATE(P30,":",S30),Y30)+IF(F122=CONCATENATE(P32,":",S32),Y32)+IF(F122=CONCATENATE(P34,":",S34),Y34)+IF(F122=CONCATENATE(P36,":",S36),Y36)</f>
        <v>0</v>
      </c>
      <c r="H122" s="70"/>
    </row>
    <row r="123" spans="2:8" ht="15" x14ac:dyDescent="0.3">
      <c r="B123" s="68"/>
      <c r="C123" s="69"/>
      <c r="D123" s="69"/>
      <c r="E123" s="69"/>
      <c r="F123" s="77" t="s">
        <v>322</v>
      </c>
      <c r="G123" s="79">
        <f>IF(F123=CONCATENATE(G14,":",J14),Y14)+IF(F123=CONCATENATE(G16,":",J16),Y16)+IF(F123=CONCATENATE(G18,":",J18),Y18)+IF(F123=CONCATENATE(G20,":",J20),Y20)+IF(F123=CONCATENATE(G22,":",J22),Y22)+IF(F123=CONCATENATE(G24,":",J24),Y24)+IF(F123=CONCATENATE(G26,":",J26),Y26)+IF(F123=CONCATENATE(G28,":",J28),Y28)+IF(F123=CONCATENATE(P30,":",S30),Y30)+IF(F123=CONCATENATE(P32,":",S32),Y32)+IF(F123=CONCATENATE(P34,":",S34),Y34)+IF(F123=CONCATENATE(P36,":",S36),Y36)</f>
        <v>0</v>
      </c>
      <c r="H123" s="70"/>
    </row>
    <row r="124" spans="2:8" ht="15" x14ac:dyDescent="0.3">
      <c r="B124" s="68"/>
      <c r="C124" s="69"/>
      <c r="D124" s="69"/>
      <c r="E124" s="69"/>
      <c r="F124" s="77" t="s">
        <v>311</v>
      </c>
      <c r="G124" s="79">
        <f>IF(F124=CONCATENATE(G14,":",J14),Y14)+IF(F124=CONCATENATE(G16,":",J16),Y16)+IF(F124=CONCATENATE(G18,":",J18),Y18)+IF(F124=CONCATENATE(G20,":",J20),Y20)+IF(F124=CONCATENATE(G22,":",J22),Y22)+IF(F124=CONCATENATE(G24,":",J24),Y24)+IF(F124=CONCATENATE(G26,":",J26),Y26)+IF(F124=CONCATENATE(G28,":",J28),Y28)+IF(F124=CONCATENATE(P30,":",S30),Y30)+IF(F124=CONCATENATE(P32,":",S32),Y32)+IF(F124=CONCATENATE(P34,":",S34),Y34)+IF(F124=CONCATENATE(P36,":",S36),Y36)</f>
        <v>0</v>
      </c>
      <c r="H124" s="70"/>
    </row>
    <row r="125" spans="2:8" ht="15" x14ac:dyDescent="0.3">
      <c r="B125" s="68"/>
      <c r="C125" s="69"/>
      <c r="D125" s="69"/>
      <c r="E125" s="69"/>
      <c r="F125" s="77" t="s">
        <v>243</v>
      </c>
      <c r="G125" s="79">
        <f>IF(F125=CONCATENATE(G14,":",J14),Y14)+IF(F125=CONCATENATE(G16,":",J16),Y16)+IF(F125=CONCATENATE(G18,":",J18),Y18)+IF(F125=CONCATENATE(G20,":",J20),Y20)+IF(F125=CONCATENATE(G22,":",J22),Y22)+IF(F125=CONCATENATE(G24,":",J24),Y24)+IF(F125=CONCATENATE(G26,":",J26),Y26)+IF(F125=CONCATENATE(G28,":",J28),Y28)+IF(F125=CONCATENATE(P30,":",S30),Y30)+IF(F125=CONCATENATE(P32,":",S32),Y32)+IF(F125=CONCATENATE(P34,":",S34),Y34)+IF(F125=CONCATENATE(P36,":",S36),Y36)</f>
        <v>0</v>
      </c>
      <c r="H125" s="70"/>
    </row>
    <row r="126" spans="2:8" ht="15" x14ac:dyDescent="0.3">
      <c r="B126" s="68"/>
      <c r="C126" s="69"/>
      <c r="D126" s="69"/>
      <c r="E126" s="69"/>
      <c r="F126" s="77" t="s">
        <v>312</v>
      </c>
      <c r="G126" s="79">
        <f>IF(F126=CONCATENATE(G14,":",J14),Y14)+IF(F126=CONCATENATE(G16,":",J16),Y16)+IF(F126=CONCATENATE(G18,":",J18),Y18)+IF(F126=CONCATENATE(G20,":",J20),Y20)+IF(F126=CONCATENATE(G22,":",J22),Y22)+IF(F126=CONCATENATE(G24,":",J24),Y24)+IF(F126=CONCATENATE(G26,":",J26),Y26)+IF(F126=CONCATENATE(G28,":",J28),Y28)+IF(F126=CONCATENATE(P30,":",S30),Y30)+IF(F126=CONCATENATE(P32,":",S32),Y32)+IF(F126=CONCATENATE(P34,":",S34),Y34)+IF(F126=CONCATENATE(P36,":",S36),Y36)</f>
        <v>0</v>
      </c>
      <c r="H126" s="70"/>
    </row>
    <row r="127" spans="2:8" ht="15" x14ac:dyDescent="0.3">
      <c r="B127" s="68"/>
      <c r="C127" s="69"/>
      <c r="D127" s="69"/>
      <c r="E127" s="69"/>
      <c r="F127" s="77" t="s">
        <v>313</v>
      </c>
      <c r="G127" s="79">
        <f>IF(F127=CONCATENATE(G14,":",J14),Y14)+IF(F127=CONCATENATE(G16,":",J16),Y16)+IF(F127=CONCATENATE(G18,":",J18),Y18)+IF(F127=CONCATENATE(G20,":",J20),Y20)+IF(F127=CONCATENATE(G22,":",J22),Y22)+IF(F127=CONCATENATE(G24,":",J24),Y24)+IF(F127=CONCATENATE(G26,":",J26),Y26)+IF(F127=CONCATENATE(G28,":",J28),Y28)+IF(F127=CONCATENATE(P30,":",S30),Y30)+IF(F127=CONCATENATE(P32,":",S32),Y32)+IF(F127=CONCATENATE(P34,":",S34),Y34)+IF(F127=CONCATENATE(P36,":",S36),Y36)</f>
        <v>0</v>
      </c>
      <c r="H127" s="70"/>
    </row>
    <row r="128" spans="2:8" ht="15" x14ac:dyDescent="0.3">
      <c r="B128" s="68"/>
      <c r="C128" s="69"/>
      <c r="D128" s="69"/>
      <c r="E128" s="69"/>
      <c r="F128" s="77" t="s">
        <v>288</v>
      </c>
      <c r="G128" s="79">
        <f>IF(F128=CONCATENATE(G14,":",J14),Y14)+IF(F128=CONCATENATE(G16,":",J16),Y16)+IF(F128=CONCATENATE(G18,":",J18),Y18)+IF(F128=CONCATENATE(G20,":",J20),Y20)+IF(F128=CONCATENATE(G22,":",J22),Y22)+IF(F128=CONCATENATE(G24,":",J24),Y24)+IF(F128=CONCATENATE(G26,":",J26),Y26)+IF(F128=CONCATENATE(G28,":",J28),Y28)+IF(F128=CONCATENATE(P30,":",S30),Y30)+IF(F128=CONCATENATE(P32,":",S32),Y32)+IF(F128=CONCATENATE(P34,":",S34),Y34)+IF(F128=CONCATENATE(P36,":",S36),Y36)</f>
        <v>0</v>
      </c>
      <c r="H128" s="70"/>
    </row>
    <row r="129" spans="2:8" ht="15" x14ac:dyDescent="0.3">
      <c r="B129" s="68"/>
      <c r="C129" s="69"/>
      <c r="D129" s="69"/>
      <c r="E129" s="69"/>
      <c r="F129" s="77" t="s">
        <v>245</v>
      </c>
      <c r="G129" s="79">
        <f>IF(F129=CONCATENATE(G14,":",J14),Y14)+IF(F129=CONCATENATE(G16,":",J16),Y16)+IF(F129=CONCATENATE(G18,":",J18),Y18)+IF(F129=CONCATENATE(G20,":",J20),Y20)+IF(F129=CONCATENATE(G22,":",J22),Y22)+IF(F129=CONCATENATE(G24,":",J24),Y24)+IF(F129=CONCATENATE(G26,":",J26),Y26)+IF(F129=CONCATENATE(G28,":",J28),Y28)+IF(F129=CONCATENATE(P30,":",S30),Y30)+IF(F129=CONCATENATE(P32,":",S32),Y32)+IF(F129=CONCATENATE(P34,":",S34),Y34)+IF(F129=CONCATENATE(P36,":",S36),Y36)</f>
        <v>0</v>
      </c>
      <c r="H129" s="70"/>
    </row>
    <row r="130" spans="2:8" ht="15" x14ac:dyDescent="0.3">
      <c r="B130" s="68"/>
      <c r="C130" s="69"/>
      <c r="D130" s="69"/>
      <c r="E130" s="69"/>
      <c r="F130" s="77" t="s">
        <v>246</v>
      </c>
      <c r="G130" s="79">
        <f>IF(F130=CONCATENATE(G14,":",J14),Y14)+IF(F130=CONCATENATE(G16,":",J16),Y16)+IF(F130=CONCATENATE(G18,":",J18),Y18)+IF(F130=CONCATENATE(G20,":",J20),Y20)+IF(F130=CONCATENATE(G22,":",J22),Y22)+IF(F130=CONCATENATE(G24,":",J24),Y24)+IF(F130=CONCATENATE(G26,":",J26),Y26)+IF(F130=CONCATENATE(G28,":",J28),Y28)+IF(F130=CONCATENATE(P30,":",S30),Y30)+IF(F130=CONCATENATE(P32,":",S32),Y32)+IF(F130=CONCATENATE(P34,":",S34),Y34)+IF(F130=CONCATENATE(P36,":",S36),Y36)</f>
        <v>0</v>
      </c>
      <c r="H130" s="70"/>
    </row>
    <row r="131" spans="2:8" ht="15" x14ac:dyDescent="0.3">
      <c r="B131" s="68"/>
      <c r="C131" s="69"/>
      <c r="D131" s="69"/>
      <c r="E131" s="69"/>
      <c r="F131" s="77" t="s">
        <v>247</v>
      </c>
      <c r="G131" s="79">
        <f>IF(F131=CONCATENATE(G14,":",J14),Y14)+IF(F131=CONCATENATE(G16,":",J16),Y16)+IF(F131=CONCATENATE(G18,":",J18),Y18)+IF(F131=CONCATENATE(G20,":",J20),Y20)+IF(F131=CONCATENATE(G22,":",J22),Y22)+IF(F131=CONCATENATE(G24,":",J24),Y24)+IF(F131=CONCATENATE(G26,":",J26),Y26)+IF(F131=CONCATENATE(G28,":",J28),Y28)+IF(F131=CONCATENATE(P30,":",S30),Y30)+IF(F131=CONCATENATE(P32,":",S32),Y32)+IF(F131=CONCATENATE(P34,":",S34),Y34)+IF(F131=CONCATENATE(P36,":",S36),Y36)</f>
        <v>0</v>
      </c>
      <c r="H131" s="70"/>
    </row>
    <row r="132" spans="2:8" ht="15" x14ac:dyDescent="0.3">
      <c r="B132" s="68"/>
      <c r="C132" s="69"/>
      <c r="D132" s="69"/>
      <c r="E132" s="69"/>
      <c r="F132" s="77" t="s">
        <v>248</v>
      </c>
      <c r="G132" s="79">
        <f>IF(F132=CONCATENATE(G14,":",J14),Y14)+IF(F132=CONCATENATE(G16,":",J16),Y16)+IF(F132=CONCATENATE(G18,":",J18),Y18)+IF(F132=CONCATENATE(G20,":",J20),Y20)+IF(F132=CONCATENATE(G22,":",J22),Y22)+IF(F132=CONCATENATE(G24,":",J24),Y24)+IF(F132=CONCATENATE(G26,":",J26),Y26)+IF(F132=CONCATENATE(G28,":",J28),Y28)+IF(F132=CONCATENATE(P30,":",S30),Y30)+IF(F132=CONCATENATE(P32,":",S32),Y32)+IF(F132=CONCATENATE(P34,":",S34),Y34)+IF(F132=CONCATENATE(P36,":",S36),Y36)</f>
        <v>0</v>
      </c>
      <c r="H132" s="70"/>
    </row>
    <row r="133" spans="2:8" ht="15" x14ac:dyDescent="0.3">
      <c r="B133" s="68"/>
      <c r="C133" s="69"/>
      <c r="D133" s="69"/>
      <c r="E133" s="69"/>
      <c r="F133" s="77" t="s">
        <v>249</v>
      </c>
      <c r="G133" s="79">
        <f>IF(F133=CONCATENATE(G14,":",J14),Y14)+IF(F133=CONCATENATE(G16,":",J16),Y16)+IF(F133=CONCATENATE(G18,":",J18),Y18)+IF(F133=CONCATENATE(G20,":",J20),Y20)+IF(F133=CONCATENATE(G22,":",J22),Y22)+IF(F133=CONCATENATE(G24,":",J24),Y24)+IF(F131=CONCATENATE(G26,":",J26),Y26)+IF(F133=CONCATENATE(G28,":",J28),Y28)+IF(F133=CONCATENATE(P30,":",S30),Y30)+IF(F133=CONCATENATE(P32,":",S32),Y32)+IF(F133=CONCATENATE(P34,":",S34),Y34)+IF(F133=CONCATENATE(P36,":",S36),Y36)</f>
        <v>0</v>
      </c>
      <c r="H133" s="70"/>
    </row>
    <row r="134" spans="2:8" ht="15" x14ac:dyDescent="0.3">
      <c r="B134" s="68"/>
      <c r="C134" s="69"/>
      <c r="D134" s="69"/>
      <c r="E134" s="69"/>
      <c r="F134" s="77" t="s">
        <v>250</v>
      </c>
      <c r="G134" s="79">
        <f>IF(F134=CONCATENATE(G14,":",J14),Y14)+IF(F134=CONCATENATE(G16,":",J16),Y16)+IF(F134=CONCATENATE(G18,":",J18),Y18)+IF(F134=CONCATENATE(G20,":",J20),Y20)+IF(F134=CONCATENATE(G22,":",J22),Y22)+IF(F134=CONCATENATE(G24,":",J24),Y24)+IF(F132=CONCATENATE(G26,":",J26),Y26)+IF(F134=CONCATENATE(G28,":",J28),Y28)+IF(F134=CONCATENATE(P30,":",S30),Y30)+IF(F134=CONCATENATE(P32,":",S32),Y32)+IF(F134=CONCATENATE(P34,":",S34),Y34)+IF(F134=CONCATENATE(P36,":",S36),Y36)</f>
        <v>0</v>
      </c>
      <c r="H134" s="70"/>
    </row>
    <row r="135" spans="2:8" ht="15" x14ac:dyDescent="0.3">
      <c r="B135" s="68"/>
      <c r="C135" s="69"/>
      <c r="D135" s="69"/>
      <c r="E135" s="69"/>
      <c r="F135" s="80" t="s">
        <v>251</v>
      </c>
      <c r="G135" s="79">
        <f>IF(F135=CONCATENATE(G14,":",J14),Y14)+IF(F135=CONCATENATE(G16,":",J16),Y16)+IF(F135=CONCATENATE(G18,":",J18),Y18)+IF(F135=CONCATENATE(G20,":",J20),Y20)+IF(F135=CONCATENATE(G22,":",J22),Y22)+IF(F135=CONCATENATE(G24,":",J24),Y24)+IF(F135=CONCATENATE(G26,":",J26),Y26)+IF(F135=CONCATENATE(G28,":",J28),Y28)+IF(F135=CONCATENATE(P30,":",S30),Y30)+IF(F135=CONCATENATE(P32,":",S32),Y32)+IF(F135=CONCATENATE(P34,":",S34),Y34)+IF(F135=CONCATENATE(P36,":",S36),Y36)</f>
        <v>0</v>
      </c>
      <c r="H135" s="70"/>
    </row>
    <row r="136" spans="2:8" ht="15" x14ac:dyDescent="0.3">
      <c r="B136" s="68"/>
      <c r="F136" s="77" t="s">
        <v>314</v>
      </c>
      <c r="G136" s="79">
        <f>IF(F136=CONCATENATE(G14,":",J14),Y14)+IF(F136=CONCATENATE(G16,":",J16),Y16)+IF(F136=CONCATENATE(G18,":",J18),Y18)+IF(F136=CONCATENATE(G20,":",J20),Y20)+IF(F136=CONCATENATE(G22,":",J22),Y22)+IF(F136=CONCATENATE(G24,":",J24),Y24)+IF(F136=CONCATENATE(G26,":",J26),Y26)+IF(F136=CONCATENATE(G28,":",J28),Y28)+IF(F136=CONCATENATE(P30,":",S30),Y30)+IF(F136=CONCATENATE(P32,":",S32),Y32)+IF(F136=CONCATENATE(P34,":",S34),Y34)+IF(F136=CONCATENATE(P36,":",S36),Y36)</f>
        <v>0</v>
      </c>
      <c r="H136" s="70"/>
    </row>
    <row r="137" spans="2:8" ht="15" x14ac:dyDescent="0.3">
      <c r="B137" s="68"/>
      <c r="F137" s="77" t="s">
        <v>252</v>
      </c>
      <c r="G137" s="79">
        <f>IF(F137=CONCATENATE(G14,":",J14),Y14)+IF(F137=CONCATENATE(G16,":",J16),Y16)+IF(F137=CONCATENATE(G18,":",J18),Y18)+IF(F137=CONCATENATE(G20,":",J20),Y20)+IF(F137=CONCATENATE(G22,":",J22),Y22)+IF(F137=CONCATENATE(G24,":",J24),Y24)+IF(F137=CONCATENATE(G26,":",J26),Y26)+IF(F137=CONCATENATE(G28,":",J28),Y28)+IF(F137=CONCATENATE(P30,":",S30),Y30)+IF(F137=CONCATENATE(P32,":",S32),Y32)+IF(F137=CONCATENATE(P34,":",S34),Y34)+IF(F137=CONCATENATE(P36,":",S36),Y36)</f>
        <v>0</v>
      </c>
      <c r="H137" s="70"/>
    </row>
    <row r="138" spans="2:8" ht="15" x14ac:dyDescent="0.3">
      <c r="B138" s="68"/>
      <c r="F138" s="77" t="s">
        <v>294</v>
      </c>
      <c r="G138" s="79">
        <f>IF(F138=CONCATENATE(G14,":",J14),Y14)+IF(F138=CONCATENATE(G16,":",J16),Y16)+IF(F138=CONCATENATE(G18,":",J18),Y18)+IF(F138=CONCATENATE(G20,":",J20),Y20)+IF(F138=CONCATENATE(G22,":",J22),Y22)+IF(F138=CONCATENATE(G24,":",J24),Y24)+IF(F138=CONCATENATE(G26,":",J26),Y26)+IF(F138=CONCATENATE(G28,":",J28),Y28)+IF(F138=CONCATENATE(P30,":",S30),Y30)+IF(F138=CONCATENATE(P32,":",S32),Y32)+IF(F138=CONCATENATE(P34,":",S34),Y34)+IF(F138=CONCATENATE(P36,":",S36),Y36)</f>
        <v>0</v>
      </c>
      <c r="H138" s="70"/>
    </row>
    <row r="139" spans="2:8" ht="15" x14ac:dyDescent="0.3">
      <c r="B139" s="68"/>
      <c r="F139" s="77" t="s">
        <v>315</v>
      </c>
      <c r="G139" s="79">
        <f>IF(F139=CONCATENATE(G14,":",J14),Y14)+IF(F139=CONCATENATE(G16,":",J16),Y16)+IF(F139=CONCATENATE(G18,":",J18),Y18)+IF(F139=CONCATENATE(G20,":",J20),Y20)+IF(F139=CONCATENATE(G22,":",J22),Y22)+IF(F139=CONCATENATE(G24,":",J24),Y24)+IF(F139=CONCATENATE(G26,":",J26),Y26)+IF(F139=CONCATENATE(G28,":",J28),Y28)+IF(F139=CONCATENATE(P30,":",S30),Y30)+IF(F139=CONCATENATE(P32,":",S32),Y32)+IF(F139=CONCATENATE(P34,":",S34),Y34)+IF(F139=CONCATENATE(P36,":",S36),Y36)</f>
        <v>0</v>
      </c>
      <c r="H139" s="70"/>
    </row>
    <row r="140" spans="2:8" ht="15" x14ac:dyDescent="0.3">
      <c r="B140" s="68"/>
      <c r="F140" s="77" t="s">
        <v>319</v>
      </c>
      <c r="G140" s="79">
        <f>IF(F140=CONCATENATE(G14,":",J14),Y14)+IF(F140=CONCATENATE(G16,":",J16),Y16)+IF(F140=CONCATENATE(G18,":",J18),Y18)+IF(F140=CONCATENATE(G20,":",J20),Y20)+IF(F140=CONCATENATE(G22,":",J22),Y22)+IF(F140=CONCATENATE(G24,":",J24),Y24)+IF(F140=CONCATENATE(G26,":",J26),Y26)+IF(F140=CONCATENATE(G28,":",J28),Y28)+IF(F140=CONCATENATE(P30,":",S30),Y30)+IF(F140=CONCATENATE(P32,":",S32),Y32)+IF(F140=CONCATENATE(P34,":",S34),Y34)+IF(F140=CONCATENATE(P36,":",S36),Y36)</f>
        <v>0</v>
      </c>
      <c r="H140" s="70"/>
    </row>
    <row r="141" spans="2:8" ht="15" x14ac:dyDescent="0.3">
      <c r="B141" s="68"/>
      <c r="F141" s="77" t="s">
        <v>282</v>
      </c>
      <c r="G141" s="79">
        <f>IF(F141=CONCATENATE(G14,":",J14),Y14)+IF(F141=CONCATENATE(G16,":",J16),Y16)+IF(F141=CONCATENATE(G18,":",J18),Y18)+IF(F141=CONCATENATE(G20,":",J20),Y20)+IF(F141=CONCATENATE(G22,":",J22),Y22)+IF(F141=CONCATENATE(G24,":",J24),Y24)+IF(F141=CONCATENATE(G26,":",J26),Y26)+IF(F141=CONCATENATE(G28,":",J28),Y28)+IF(F141=CONCATENATE(P30,":",S30),Y30)+IF(F141=CONCATENATE(P32,":",S32),Y32)+IF(F141=CONCATENATE(P34,":",S34),Y34)+IF(F141=CONCATENATE(P36,":",S36),Y36)</f>
        <v>0</v>
      </c>
      <c r="H141" s="70"/>
    </row>
    <row r="142" spans="2:8" ht="15" x14ac:dyDescent="0.3">
      <c r="B142" s="71"/>
      <c r="C142" s="72"/>
      <c r="D142" s="72"/>
      <c r="E142" s="72"/>
      <c r="F142" s="81" t="s">
        <v>283</v>
      </c>
      <c r="G142" s="76">
        <f>IF(F142=CONCATENATE(G14,":",J14),Y14)+IF(F142=CONCATENATE(G16,":",J16),Y16)+IF(F142=CONCATENATE(G18,":",J18),Y18)+IF(F142=CONCATENATE(G20,":",J20),Y20)+IF(F142=CONCATENATE(G22,":",J22),Y22)+IF(F142=CONCATENATE(G24,":",J24),Y24)+IF(F142=CONCATENATE(G26,":",J26),Y26)+IF(F142=CONCATENATE(G28,":",J28),Y28)+IF(F142=CONCATENATE(P30,":",S30),Y30)+IF(F142=CONCATENATE(P32,":",S32),Y32)+IF(F142=CONCATENATE(P34,":",S34),Y34)+IF(F142=CONCATENATE(P36,":",S36),Y36)</f>
        <v>0</v>
      </c>
      <c r="H142" s="73"/>
    </row>
  </sheetData>
  <mergeCells count="1">
    <mergeCell ref="D4:G4"/>
  </mergeCells>
  <dataValidations xWindow="737" yWindow="718" count="9">
    <dataValidation type="list" showInputMessage="1" showErrorMessage="1" sqref="D16 D32 D18 D26 D14 D34 D36 D20 D22 D24 D30 D28">
      <formula1>Utilizations</formula1>
    </dataValidation>
    <dataValidation type="list" showInputMessage="1" showErrorMessage="1" error="please select from list values" prompt="please select category" sqref="G26 G16 G18 G32 G14 G34 G36 G20 G22 G24 G30 G28">
      <formula1>INDIRECT(D14)</formula1>
    </dataValidation>
    <dataValidation type="list" allowBlank="1" showInputMessage="1" showErrorMessage="1" sqref="D5">
      <formula1>Names</formula1>
    </dataValidation>
    <dataValidation type="date" operator="greaterThan" allowBlank="1" showInputMessage="1" showErrorMessage="1" prompt="enter date" sqref="D6">
      <formula1>42005</formula1>
    </dataValidation>
    <dataValidation type="list" allowBlank="1" showInputMessage="1" showErrorMessage="1" prompt="select CSA" sqref="D4">
      <formula1>Names</formula1>
    </dataValidation>
    <dataValidation type="list" showInputMessage="1" showErrorMessage="1" error="please select from list values" prompt="select sub-type when applicable" sqref="S14 S34 S32 S18 S26 S16 S36 S20 S22 S24 S30 S28">
      <formula1>IF(D14="Customer",INDIRECT(P14),INDIRECT(G14))</formula1>
    </dataValidation>
    <dataValidation type="list" showInputMessage="1" showErrorMessage="1" error="please select from list values" prompt="select interaction when applicable" sqref="P14 P34 P32 P26 P18 P16 P36 P20 P22 P24 P30 P28">
      <formula1>IF(D14="Customer",Interaction,INDIRECT("formdata!A2"))</formula1>
    </dataValidation>
    <dataValidation type="list" showInputMessage="1" showErrorMessage="1" error="please select from list values" prompt="select product when applicable" sqref="M14 M16 M18 M26 M32 M34 M36 M20 M22 M24 M30 M28">
      <formula1>IF(D14="Customer",Primary,INDIRECT("formdata!A2"))</formula1>
    </dataValidation>
    <dataValidation type="list" showInputMessage="1" showErrorMessage="1" errorTitle="&lt;&lt;SELECTION ERROR&gt;&gt;" error="please select from list values" prompt="select customer when applicable" sqref="J22 J16 J18 J20 J24 J26 J28 J30 J32 J34 J36 J14">
      <formula1>IF(D14="Customer",INDIRECT(G14),IF(D14="Travel",ALL_Customers,INDIRECT("formdata!A2")))</formula1>
    </dataValidation>
  </dataValidations>
  <pageMargins left="0.7" right="0.7" top="0.75" bottom="0.75" header="0.3" footer="0.3"/>
  <pageSetup orientation="portrait" horizontalDpi="4294967293" verticalDpi="4294967293" r:id="rId1"/>
  <customProperties>
    <customPr name="LastActive" r:id="rId2"/>
  </customProperties>
  <drawing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Y143"/>
  <sheetViews>
    <sheetView zoomScaleNormal="100" workbookViewId="0">
      <selection activeCell="V18" sqref="V18"/>
    </sheetView>
  </sheetViews>
  <sheetFormatPr defaultRowHeight="14.4" x14ac:dyDescent="0.3"/>
  <cols>
    <col min="1" max="1" width="1.77734375" style="3" customWidth="1"/>
    <col min="2" max="2" width="14.77734375" style="3" customWidth="1"/>
    <col min="3" max="3" width="1.77734375" style="3" customWidth="1"/>
    <col min="4" max="4" width="14.77734375" style="3" customWidth="1"/>
    <col min="5" max="5" width="1.77734375" style="3" customWidth="1"/>
    <col min="6" max="6" width="2.77734375" style="3" customWidth="1"/>
    <col min="7" max="7" width="14.77734375" style="3" customWidth="1"/>
    <col min="8" max="8" width="1.77734375" style="3" customWidth="1"/>
    <col min="9" max="9" width="2.77734375" style="3" customWidth="1"/>
    <col min="10" max="10" width="20.77734375" style="3" customWidth="1"/>
    <col min="11" max="11" width="1.77734375" style="3" customWidth="1"/>
    <col min="12" max="12" width="2.77734375" style="3" customWidth="1"/>
    <col min="13" max="13" width="8.77734375" style="3" customWidth="1"/>
    <col min="14" max="14" width="1.77734375" style="3" customWidth="1"/>
    <col min="15" max="15" width="2.77734375" style="3" customWidth="1"/>
    <col min="16" max="16" width="14.77734375" style="3" customWidth="1"/>
    <col min="17" max="17" width="1.77734375" style="3" customWidth="1"/>
    <col min="18" max="18" width="2.77734375" style="3" customWidth="1"/>
    <col min="19" max="19" width="20.77734375" style="3" customWidth="1"/>
    <col min="20" max="20" width="1.77734375" style="3" customWidth="1"/>
    <col min="21" max="21" width="2.77734375" style="3" customWidth="1"/>
    <col min="22" max="22" width="46.77734375" style="3" customWidth="1"/>
    <col min="23" max="23" width="1.77734375" style="3" customWidth="1"/>
    <col min="24" max="24" width="2.77734375" style="3" customWidth="1"/>
    <col min="25" max="25" width="10.77734375" style="3" customWidth="1"/>
    <col min="26" max="26" width="2.77734375" style="3" customWidth="1"/>
    <col min="27" max="16384" width="8.88671875" style="3"/>
  </cols>
  <sheetData>
    <row r="1" spans="2:25" ht="7.95" customHeight="1" x14ac:dyDescent="0.3"/>
    <row r="2" spans="2:25" s="5" customFormat="1" ht="22.05" customHeight="1" x14ac:dyDescent="0.4">
      <c r="B2" s="15" t="s">
        <v>201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2:25" ht="12" customHeight="1" x14ac:dyDescent="0.3"/>
    <row r="4" spans="2:25" s="5" customFormat="1" ht="18" customHeight="1" x14ac:dyDescent="0.35">
      <c r="B4" s="6" t="s">
        <v>0</v>
      </c>
      <c r="D4" s="82" t="s">
        <v>1</v>
      </c>
      <c r="E4" s="83"/>
      <c r="F4" s="83"/>
      <c r="G4" s="84"/>
    </row>
    <row r="5" spans="2:25" s="5" customFormat="1" ht="12" customHeight="1" x14ac:dyDescent="0.3">
      <c r="B5" s="6"/>
    </row>
    <row r="6" spans="2:25" ht="18" customHeight="1" x14ac:dyDescent="0.35">
      <c r="B6" s="6" t="s">
        <v>3</v>
      </c>
      <c r="D6" s="20">
        <f>MONDAY!D6+1</f>
        <v>42304</v>
      </c>
      <c r="G6" s="13" t="str">
        <f>UPPER(TEXT(D6,"DDDD"))</f>
        <v>TUESDAY</v>
      </c>
    </row>
    <row r="7" spans="2:25" ht="12" customHeight="1" x14ac:dyDescent="0.3"/>
    <row r="8" spans="2:25" s="5" customFormat="1" ht="18" customHeight="1" x14ac:dyDescent="0.3">
      <c r="B8" s="6" t="s">
        <v>27</v>
      </c>
      <c r="D8" s="16">
        <f>SUM(Y14:Y34)</f>
        <v>8</v>
      </c>
      <c r="P8" s="6"/>
      <c r="V8" s="6"/>
      <c r="Y8" s="7"/>
    </row>
    <row r="9" spans="2:25" s="5" customFormat="1" ht="12" customHeight="1" x14ac:dyDescent="0.3">
      <c r="B9" s="6"/>
      <c r="P9" s="6"/>
      <c r="V9" s="6"/>
      <c r="Y9" s="7"/>
    </row>
    <row r="10" spans="2:25" ht="42" customHeight="1" x14ac:dyDescent="0.3"/>
    <row r="11" spans="2:25" ht="4.9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</row>
    <row r="12" spans="2:25" s="11" customFormat="1" ht="15.6" x14ac:dyDescent="0.3">
      <c r="B12" s="9" t="s">
        <v>4</v>
      </c>
      <c r="C12" s="9"/>
      <c r="D12" s="9" t="s">
        <v>5</v>
      </c>
      <c r="E12" s="9"/>
      <c r="F12" s="9"/>
      <c r="G12" s="10" t="s">
        <v>10</v>
      </c>
      <c r="H12" s="9"/>
      <c r="I12" s="9"/>
      <c r="J12" s="9" t="s">
        <v>11</v>
      </c>
      <c r="K12" s="9"/>
      <c r="L12" s="9"/>
      <c r="M12" s="9" t="s">
        <v>23</v>
      </c>
      <c r="N12" s="9"/>
      <c r="P12" s="10" t="s">
        <v>28</v>
      </c>
      <c r="Q12" s="9"/>
      <c r="R12" s="9"/>
      <c r="S12" s="9" t="s">
        <v>29</v>
      </c>
      <c r="T12" s="9"/>
      <c r="V12" s="10" t="s">
        <v>92</v>
      </c>
      <c r="W12" s="9"/>
      <c r="Y12" s="9" t="s">
        <v>12</v>
      </c>
    </row>
    <row r="13" spans="2:25" ht="4.9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2:25" s="14" customFormat="1" x14ac:dyDescent="0.3">
      <c r="B14" s="26">
        <v>1</v>
      </c>
      <c r="D14" s="26" t="s">
        <v>6</v>
      </c>
      <c r="E14" s="26"/>
      <c r="F14" s="26"/>
      <c r="G14" s="26" t="s">
        <v>17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80</v>
      </c>
      <c r="T14" s="26"/>
      <c r="U14" s="26"/>
      <c r="V14" s="58"/>
      <c r="W14" s="26"/>
      <c r="X14" s="26"/>
      <c r="Y14" s="29">
        <v>1</v>
      </c>
    </row>
    <row r="15" spans="2:25" ht="4.95" customHeight="1" x14ac:dyDescent="0.3">
      <c r="B15" s="27"/>
      <c r="C15" s="12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60"/>
      <c r="W15" s="27"/>
      <c r="X15" s="27"/>
      <c r="Y15" s="30"/>
    </row>
    <row r="16" spans="2:25" s="14" customFormat="1" x14ac:dyDescent="0.3">
      <c r="B16" s="26">
        <v>2</v>
      </c>
      <c r="D16" s="26" t="s">
        <v>7</v>
      </c>
      <c r="E16" s="26"/>
      <c r="F16" s="26"/>
      <c r="G16" s="26" t="s">
        <v>35</v>
      </c>
      <c r="H16" s="26"/>
      <c r="I16" s="26"/>
      <c r="J16" s="26" t="s">
        <v>293</v>
      </c>
      <c r="K16" s="26"/>
      <c r="L16" s="26"/>
      <c r="M16" s="26" t="s">
        <v>204</v>
      </c>
      <c r="N16" s="26"/>
      <c r="O16" s="26"/>
      <c r="P16" s="26" t="s">
        <v>24</v>
      </c>
      <c r="Q16" s="26"/>
      <c r="R16" s="26"/>
      <c r="S16" s="26" t="s">
        <v>196</v>
      </c>
      <c r="T16" s="26"/>
      <c r="U16" s="26"/>
      <c r="V16" s="58" t="s">
        <v>328</v>
      </c>
      <c r="W16" s="26"/>
      <c r="X16" s="26"/>
      <c r="Y16" s="29">
        <v>4</v>
      </c>
    </row>
    <row r="17" spans="2:25" ht="4.95" customHeight="1" x14ac:dyDescent="0.3">
      <c r="B17" s="27"/>
      <c r="C17" s="12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60"/>
      <c r="W17" s="27"/>
      <c r="X17" s="27"/>
      <c r="Y17" s="30"/>
    </row>
    <row r="18" spans="2:25" s="14" customFormat="1" x14ac:dyDescent="0.3">
      <c r="B18" s="26">
        <v>3</v>
      </c>
      <c r="D18" s="26" t="s">
        <v>7</v>
      </c>
      <c r="E18" s="26"/>
      <c r="F18" s="26"/>
      <c r="G18" s="26" t="s">
        <v>35</v>
      </c>
      <c r="H18" s="26"/>
      <c r="I18" s="26"/>
      <c r="J18" s="26" t="s">
        <v>293</v>
      </c>
      <c r="K18" s="26"/>
      <c r="L18" s="26"/>
      <c r="M18" s="26" t="s">
        <v>202</v>
      </c>
      <c r="N18" s="26"/>
      <c r="O18" s="26"/>
      <c r="P18" s="26" t="s">
        <v>23</v>
      </c>
      <c r="Q18" s="26"/>
      <c r="R18" s="26"/>
      <c r="S18" s="26" t="s">
        <v>181</v>
      </c>
      <c r="T18" s="26"/>
      <c r="U18" s="26"/>
      <c r="V18" s="58" t="s">
        <v>329</v>
      </c>
      <c r="W18" s="26"/>
      <c r="X18" s="26"/>
      <c r="Y18" s="29">
        <v>3</v>
      </c>
    </row>
    <row r="19" spans="2:25" ht="4.95" customHeight="1" x14ac:dyDescent="0.3">
      <c r="B19" s="27"/>
      <c r="C19" s="12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60"/>
      <c r="W19" s="27"/>
      <c r="X19" s="27"/>
      <c r="Y19" s="30"/>
    </row>
    <row r="20" spans="2:25" s="14" customFormat="1" x14ac:dyDescent="0.3">
      <c r="B20" s="26">
        <v>4</v>
      </c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58"/>
      <c r="W20" s="26"/>
      <c r="X20" s="26"/>
      <c r="Y20" s="29">
        <v>0</v>
      </c>
    </row>
    <row r="21" spans="2:25" ht="4.95" customHeight="1" x14ac:dyDescent="0.3">
      <c r="B21" s="27"/>
      <c r="C21" s="12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60"/>
      <c r="W21" s="27"/>
      <c r="X21" s="27"/>
      <c r="Y21" s="30"/>
    </row>
    <row r="22" spans="2:25" s="14" customFormat="1" x14ac:dyDescent="0.3">
      <c r="B22" s="26">
        <v>5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58"/>
      <c r="W22" s="26"/>
      <c r="X22" s="26"/>
      <c r="Y22" s="29">
        <v>0</v>
      </c>
    </row>
    <row r="23" spans="2:25" ht="4.95" customHeight="1" x14ac:dyDescent="0.3">
      <c r="B23" s="27"/>
      <c r="C23" s="12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60"/>
      <c r="W23" s="27"/>
      <c r="X23" s="27"/>
      <c r="Y23" s="30"/>
    </row>
    <row r="24" spans="2:25" s="14" customFormat="1" x14ac:dyDescent="0.3">
      <c r="B24" s="26">
        <v>6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58"/>
      <c r="W24" s="26"/>
      <c r="X24" s="26"/>
      <c r="Y24" s="29">
        <v>0</v>
      </c>
    </row>
    <row r="25" spans="2:25" ht="4.95" customHeight="1" x14ac:dyDescent="0.3">
      <c r="B25" s="27"/>
      <c r="C25" s="12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60"/>
      <c r="W25" s="27"/>
      <c r="X25" s="27"/>
      <c r="Y25" s="30"/>
    </row>
    <row r="26" spans="2:25" s="14" customFormat="1" x14ac:dyDescent="0.3">
      <c r="B26" s="26">
        <v>7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58"/>
      <c r="W26" s="26"/>
      <c r="X26" s="26"/>
      <c r="Y26" s="29">
        <v>0</v>
      </c>
    </row>
    <row r="27" spans="2:25" ht="4.95" customHeight="1" x14ac:dyDescent="0.3">
      <c r="B27" s="27"/>
      <c r="C27" s="12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60"/>
      <c r="W27" s="27"/>
      <c r="X27" s="27"/>
      <c r="Y27" s="30"/>
    </row>
    <row r="28" spans="2:25" s="14" customFormat="1" x14ac:dyDescent="0.3">
      <c r="B28" s="26">
        <v>8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58"/>
      <c r="W28" s="26"/>
      <c r="X28" s="26"/>
      <c r="Y28" s="29">
        <v>0</v>
      </c>
    </row>
    <row r="29" spans="2:25" ht="4.95" customHeight="1" x14ac:dyDescent="0.3">
      <c r="B29" s="27"/>
      <c r="C29" s="12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60"/>
      <c r="W29" s="27"/>
      <c r="X29" s="27"/>
      <c r="Y29" s="30"/>
    </row>
    <row r="30" spans="2:25" s="14" customFormat="1" x14ac:dyDescent="0.3">
      <c r="B30" s="26">
        <v>9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58"/>
      <c r="W30" s="26"/>
      <c r="X30" s="26"/>
      <c r="Y30" s="29">
        <v>0</v>
      </c>
    </row>
    <row r="31" spans="2:25" ht="4.95" customHeight="1" x14ac:dyDescent="0.3">
      <c r="B31" s="27"/>
      <c r="C31" s="12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60"/>
      <c r="W31" s="27"/>
      <c r="X31" s="27"/>
      <c r="Y31" s="30"/>
    </row>
    <row r="32" spans="2:25" s="14" customFormat="1" x14ac:dyDescent="0.3">
      <c r="B32" s="26">
        <v>10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58"/>
      <c r="W32" s="26"/>
      <c r="X32" s="26"/>
      <c r="Y32" s="29">
        <v>0</v>
      </c>
    </row>
    <row r="33" spans="2:25" ht="4.95" customHeight="1" x14ac:dyDescent="0.3">
      <c r="B33" s="27"/>
      <c r="C33" s="12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60"/>
      <c r="W33" s="27"/>
      <c r="X33" s="27"/>
      <c r="Y33" s="30"/>
    </row>
    <row r="34" spans="2:25" s="14" customFormat="1" x14ac:dyDescent="0.3">
      <c r="B34" s="26">
        <v>11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58"/>
      <c r="W34" s="26"/>
      <c r="X34" s="26"/>
      <c r="Y34" s="29">
        <v>0</v>
      </c>
    </row>
    <row r="35" spans="2:25" ht="4.95" customHeight="1" x14ac:dyDescent="0.3">
      <c r="B35" s="27"/>
      <c r="C35" s="12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60"/>
      <c r="W35" s="27"/>
      <c r="X35" s="27"/>
      <c r="Y35" s="30"/>
    </row>
    <row r="36" spans="2:25" s="14" customFormat="1" x14ac:dyDescent="0.3">
      <c r="B36" s="26">
        <v>12</v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58"/>
      <c r="W36" s="26"/>
      <c r="X36" s="26"/>
      <c r="Y36" s="29">
        <v>0</v>
      </c>
    </row>
    <row r="37" spans="2:25" ht="4.95" customHeight="1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2:25" ht="4.95" customHeight="1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</row>
    <row r="39" spans="2:25" ht="37.950000000000003" customHeight="1" x14ac:dyDescent="0.3"/>
    <row r="45" spans="2:25" x14ac:dyDescent="0.3">
      <c r="B45" s="19" t="s">
        <v>210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ht="4.95" customHeight="1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2:25" ht="15" x14ac:dyDescent="0.3">
      <c r="B47" s="31"/>
      <c r="C47" s="43" t="s">
        <v>204</v>
      </c>
      <c r="D47" s="74">
        <f>IF(M14=C47,Y14) + IF(M16=C47,Y16) + IF(M18=C47,Y18) + IF(M20=C47,Y20) + IF(M22=C47,Y22) + IF(M24=C47,Y24) + IF(M26=C47,Y26) + IF(M28=C47,Y28) + IF(M30=C47,Y30) + IF(M32=C47,Y32) + IF(M34=C47,Y34) + IF(M36=C47,Y36)</f>
        <v>4</v>
      </c>
      <c r="E47" s="33"/>
      <c r="I47" s="18"/>
    </row>
    <row r="48" spans="2:25" ht="15" x14ac:dyDescent="0.3">
      <c r="B48" s="34"/>
      <c r="C48" s="44" t="s">
        <v>202</v>
      </c>
      <c r="D48" s="75">
        <f>IF(M14=C48,Y14) + IF(M16=C48,Y16) + IF(M18=C48,Y18) + IF(M20=C48,Y20) + IF(M22=C48,Y22) + IF(M24=C48,Y24) + IF(M26=C48,Y26) + IF(M28=C48,Y28) + IF(M30=C48,Y30) + IF(M32=C48,Y32) + IF(M34=C48,Y34) + IF(M36=C48,Y36)</f>
        <v>3</v>
      </c>
      <c r="E48" s="36"/>
      <c r="I48" s="18"/>
    </row>
    <row r="49" spans="2:9" ht="15" x14ac:dyDescent="0.3">
      <c r="B49" s="34"/>
      <c r="C49" s="44" t="s">
        <v>203</v>
      </c>
      <c r="D49" s="75">
        <f>IF(M14=C49,Y14) + IF(M16=C49,Y16) + IF(M18=C49,Y18) + IF(M20=C49,Y20) + IF(M22=C49,Y22) + IF(M24=C49,Y24) + IF(M26=C49,Y26) + IF(M28=C49,Y28) + IF(M30=C49,Y30) + IF(M32=C49,Y32) + IF(M34=C49,Y34) + IF(M36=C49,Y36)</f>
        <v>0</v>
      </c>
      <c r="E49" s="36"/>
      <c r="I49" s="18"/>
    </row>
    <row r="50" spans="2:9" ht="15" x14ac:dyDescent="0.3">
      <c r="B50" s="34"/>
      <c r="C50" s="44" t="s">
        <v>162</v>
      </c>
      <c r="D50" s="75">
        <f>IF(M14=C50,Y14) + IF(M16=C50,Y16) + IF(M18=C50,Y18) + IF(M20=C50,Y20) + IF(M22=C50,Y22) + IF(M24=C50,Y24) + IF(M26=C50,Y26) + IF(M28=C50,Y28) + IF(M30=C50,Y30) + IF(M32=C50,Y32) + IF(M34=C50,Y34) + IF(M36=C50,Y36)</f>
        <v>0</v>
      </c>
      <c r="E50" s="36"/>
      <c r="I50" s="18"/>
    </row>
    <row r="51" spans="2:9" ht="15" x14ac:dyDescent="0.3">
      <c r="B51" s="34"/>
      <c r="C51" s="44" t="s">
        <v>209</v>
      </c>
      <c r="D51" s="75">
        <f>IF(M14=C51,Y14) + IF(M16=C51,Y16) + IF(M18=C51,Y18) + IF(M20=C51,Y20) + IF(M22=C51,Y22) + IF(M24=C51,Y24) + IF(M26=C51,Y26) + IF(M28=C51,Y28) + IF(M30=C51,Y30) + IF(M32=C51,Y32) + IF(M34=C51,Y34) + IF(M36=C51,Y36)</f>
        <v>0</v>
      </c>
      <c r="E51" s="36"/>
    </row>
    <row r="52" spans="2:9" ht="15" x14ac:dyDescent="0.3">
      <c r="B52" s="34"/>
      <c r="C52" s="44" t="s">
        <v>127</v>
      </c>
      <c r="D52" s="75">
        <f>IF(M14=C52,Y14) + IF(M16=C52,Y16) + IF(M18=C52,Y18) + IF(M20=C52,Y20) + IF(M22=C52,Y22) + IF(M24=C52,Y24) + IF(M26=C52,Y26) + IF(M28=C52,Y28) + IF(M30=C52,Y30) + IF(M32=C52,Y32) + IF(M34=C52,Y34) + IF(M36=C52,Y36)</f>
        <v>0</v>
      </c>
      <c r="E52" s="36"/>
    </row>
    <row r="53" spans="2:9" ht="15" x14ac:dyDescent="0.3">
      <c r="B53" s="34"/>
      <c r="C53" s="44" t="s">
        <v>206</v>
      </c>
      <c r="D53" s="75">
        <f>IF(M14=C53,Y14) + IF(M16=C53,Y16) + IF(M18=C53,Y18) + IF(M20=C53,Y20) + IF(M22=C53,Y22) + IF(M24=C53,Y24) + IF(M26=C53,Y26) + IF(M28=C53,Y28) + IF(M30=C53,Y30) + IF(M32=C53,Y32) + IF(M34=C53,Y34) + IF(M36=C53,Y36)</f>
        <v>0</v>
      </c>
      <c r="E53" s="36"/>
    </row>
    <row r="54" spans="2:9" ht="15" x14ac:dyDescent="0.3">
      <c r="B54" s="37"/>
      <c r="C54" s="45" t="s">
        <v>207</v>
      </c>
      <c r="D54" s="76">
        <f>IF(M14=C54,Y14) + IF(M16=C54,Y16) + IF(M18=C54,Y18) + IF(M20=C54,Y20) + IF(M22=C54,Y22) + IF(M24=C54,Y24) + IF(M26=C54,Y26) + IF(M28=C54,Y28) + IF(M30=C54,Y30) + IF(M32=C54,Y32) + IF(M34=C54,Y34) + IF(M36=C54,Y36)</f>
        <v>0</v>
      </c>
      <c r="E54" s="39"/>
    </row>
    <row r="57" spans="2:9" ht="15" x14ac:dyDescent="0.3">
      <c r="B57" s="31"/>
      <c r="C57" s="43" t="s">
        <v>7</v>
      </c>
      <c r="D57" s="74">
        <f>IF(D14=C57,Y14) + IF(D16=C57,Y16) + IF(D18=C57,Y18) + IF(D20=C57,Y20) + IF(D22=C57,Y22) + IF(D24=C57,Y24) + IF(D26=C57,Y26) + IF(D28=C57,Y28) + IF(D30=C57,Y30) + IF(D32=C57,Y32) + IF(D34=C57,Y34) + IF(D36=C57,Y36)</f>
        <v>7</v>
      </c>
      <c r="E57" s="33"/>
    </row>
    <row r="58" spans="2:9" ht="15" x14ac:dyDescent="0.3">
      <c r="B58" s="34"/>
      <c r="C58" s="44" t="s">
        <v>6</v>
      </c>
      <c r="D58" s="75">
        <f>IF(D14=C58,Y14) + IF(D16=C58,Y16) + IF(D18=C58,Y18) + IF(D20=C58,Y20) + IF(D22=C58,Y22) + IF(D24=C58,Y24) + IF(D26=C58,Y26) + IF(D28=C58,Y28) + IF(D30=C58,Y30) + IF(D32=C58,Y32) + IF(D34=C58,Y34) + IF(D36=C58,Y36)</f>
        <v>1</v>
      </c>
      <c r="E58" s="36"/>
    </row>
    <row r="59" spans="2:9" ht="15" x14ac:dyDescent="0.3">
      <c r="B59" s="34"/>
      <c r="C59" s="44" t="s">
        <v>9</v>
      </c>
      <c r="D59" s="75">
        <f>IF(D14=C59,Y14) + IF(D16=C59,Y16) + IF(D18=C59,Y18) + IF(D20=C59,Y20) + IF(D22=C59,Y22) + IF(D24=C59,Y24) + IF(D26=C59,Y26) + IF(D28=C59,Y28) + IF(D30=C59,Y30) + IF(D32=C59,Y32) + IF(D34=C59,Y34) + IF(D36=C59,Y36)</f>
        <v>0</v>
      </c>
      <c r="E59" s="36"/>
    </row>
    <row r="60" spans="2:9" ht="15" x14ac:dyDescent="0.3">
      <c r="B60" s="37"/>
      <c r="C60" s="45" t="s">
        <v>8</v>
      </c>
      <c r="D60" s="76">
        <f>IF(D14=C60,Y14) + IF(D16=C60,Y16) + IF(D18=C60,Y18) + IF(D20=C60,Y20) + IF(D22=C60,Y22) + IF(D24=C60,Y24) + IF(D26=C60,Y26) + IF(D28=C60,Y28) + IF(D30=C60,Y30) + IF(D32=C60,Y32) + IF(D34=C60,Y34) + IF(D36=C60,Y36)</f>
        <v>0</v>
      </c>
      <c r="E60" s="39"/>
    </row>
    <row r="63" spans="2:9" ht="15" x14ac:dyDescent="0.3">
      <c r="B63" s="31"/>
      <c r="C63" s="32"/>
      <c r="D63" s="32"/>
      <c r="E63" s="32"/>
      <c r="F63" s="40" t="s">
        <v>253</v>
      </c>
      <c r="G63" s="74">
        <f>IF(F63=CONCATENATE(P14,":",S14),Y14)+IF(F63=CONCATENATE(P16,":",S16),Y16)+IF(F63=CONCATENATE(P18,":",S18),Y18)+IF(F63=CONCATENATE(P20,":",S20),Y20)+IF(F63=CONCATENATE(P22,":",S22),Y22)+IF(F63=CONCATENATE(P24,":",S24),Y24)+IF(F63=CONCATENATE(P26,":",S26),Y26)+IF(F63=CONCATENATE(P28,":",S28),Y28)+IF(F63=CONCATENATE(P30,":",S30),Y30)+IF(F63=CONCATENATE(P32,":",S32),Y32)+IF(F63=CONCATENATE(P34,":",S34),Y34)+IF(F63=CONCATENATE(P36,":",S36),Y36)+IF(F63=CONCATENATE(P36,":",S36),Y36)</f>
        <v>0</v>
      </c>
      <c r="H63" s="33"/>
    </row>
    <row r="64" spans="2:9" ht="15" x14ac:dyDescent="0.3">
      <c r="B64" s="34"/>
      <c r="C64" s="35"/>
      <c r="D64" s="35"/>
      <c r="E64" s="35"/>
      <c r="F64" s="41" t="s">
        <v>254</v>
      </c>
      <c r="G64" s="75">
        <f>IF(F64=CONCATENATE(P14,":",S14),Y14)+IF(F64=CONCATENATE(P16,":",S16),Y16)+IF(F64=CONCATENATE(P18,":",S18),Y18)+IF(F64=CONCATENATE(P20,":",S20),Y20)+IF(F64=CONCATENATE(P22,":",S22),Y22)+IF(F64=CONCATENATE(P24,":",S24),Y24)+IF(F64=CONCATENATE(P26,":",S26),Y26)+IF(F64=CONCATENATE(P28,":",S28),Y28)+IF(F64=CONCATENATE(P30,":",S30),Y30)+IF(F64=CONCATENATE(P32,":",S32),Y32)+IF(F64=CONCATENATE(P34,":",S34),Y34)+IF(F64=CONCATENATE(P36,":",S36),Y36)+IF(F64=CONCATENATE(P36,":",S36),Y36)</f>
        <v>0</v>
      </c>
      <c r="H64" s="36"/>
    </row>
    <row r="65" spans="2:8" ht="15" x14ac:dyDescent="0.3">
      <c r="B65" s="34"/>
      <c r="C65" s="35"/>
      <c r="D65" s="35"/>
      <c r="E65" s="35"/>
      <c r="F65" s="41" t="s">
        <v>255</v>
      </c>
      <c r="G65" s="75">
        <f>IF(F65=CONCATENATE(P14,":",S14),Y14)+IF(F65=CONCATENATE(P16,":",S16),Y16)+IF(F65=CONCATENATE(P18,":",S18),Y18)+IF(F65=CONCATENATE(P20,":",S20),Y20)+IF(F65=CONCATENATE(P22,":",S22),Y22)+IF(F65=CONCATENATE(P24,":",S24),Y24)+IF(F65=CONCATENATE(P26,":",S26),Y26)+IF(F65=CONCATENATE(P28,":",S28),Y28)+IF(F65=CONCATENATE(P30,":",S30),Y30)+IF(F65=CONCATENATE(P32,":",S32),Y32)+IF(F65=CONCATENATE(P34,":",S34),Y34)+IF(F65=CONCATENATE(P36,":",S36),Y36)+IF(F65=CONCATENATE(P36,":",S36),Y36)</f>
        <v>0</v>
      </c>
      <c r="H65" s="36"/>
    </row>
    <row r="66" spans="2:8" ht="15" x14ac:dyDescent="0.3">
      <c r="B66" s="34"/>
      <c r="C66" s="35"/>
      <c r="D66" s="35"/>
      <c r="E66" s="35"/>
      <c r="F66" s="41" t="s">
        <v>297</v>
      </c>
      <c r="G66" s="75">
        <f>IF(F66=CONCATENATE(P14,":",S14),Y14)+IF(F66=CONCATENATE(P16,":",S16),Y16)+IF(F66=CONCATENATE(P18,":",S18),Y18)+IF(F66=CONCATENATE(P20,":",S20),Y20)+IF(F66=CONCATENATE(P22,":",S22),Y22)+IF(F66=CONCATENATE(P24,":",S24),Y24)+IF(F66=CONCATENATE(P26,":",S26),Y26)+IF(F66=CONCATENATE(P28,":",S28),Y28)+IF(F66=CONCATENATE(P30,":",S30),Y30)+IF(F66=CONCATENATE(P32,":",S32),Y32)+IF(F66=CONCATENATE(P34,":",S34),Y34)+IF(F66=CONCATENATE(P36,":",S36),Y36)+IF(F66=CONCATENATE(P36,":",S36),Y36)</f>
        <v>0</v>
      </c>
      <c r="H66" s="36"/>
    </row>
    <row r="67" spans="2:8" s="64" customFormat="1" ht="15" x14ac:dyDescent="0.3">
      <c r="B67" s="68"/>
      <c r="C67" s="69"/>
      <c r="D67" s="69"/>
      <c r="E67" s="69"/>
      <c r="F67" s="41" t="s">
        <v>256</v>
      </c>
      <c r="G67" s="75">
        <f>IF(F67=CONCATENATE(P14,":",S14),Y14)+IF(F67=CONCATENATE(P16,":",S16),Y16)+IF(F67=CONCATENATE(P18,":",S18),Y18)+IF(F67=CONCATENATE(P20,":",S20),Y20)+IF(F67=CONCATENATE(P22,":",S22),Y22)+IF(F67=CONCATENATE(P24,":",S24),Y24)+IF(F67=CONCATENATE(P26,":",S26),Y26)+IF(F67=CONCATENATE(P28,":",S28),Y28)+IF(F67=CONCATENATE(P30,":",S30),Y30)+IF(F67=CONCATENATE(P32,":",S32),Y32)+IF(F67=CONCATENATE(P34,":",S34),Y34)+IF(F67=CONCATENATE(P36,":",S36),Y36)+IF(F67=CONCATENATE(P87,":",S38),Y38)</f>
        <v>0</v>
      </c>
      <c r="H67" s="70"/>
    </row>
    <row r="68" spans="2:8" ht="15" x14ac:dyDescent="0.3">
      <c r="B68" s="34"/>
      <c r="C68" s="35"/>
      <c r="D68" s="35"/>
      <c r="E68" s="35"/>
      <c r="F68" s="41" t="s">
        <v>257</v>
      </c>
      <c r="G68" s="75">
        <f>IF(F68=CONCATENATE(P14,":",S14),Y14)+IF(F68=CONCATENATE(P16,":",S16),Y16)+IF(F68=CONCATENATE(P18,":",S18),Y18)+IF(F68=CONCATENATE(P20,":",S20),Y20)+IF(F68=CONCATENATE(P22,":",S22),Y22)+IF(F68=CONCATENATE(P24,":",S24),Y24)+IF(F68=CONCATENATE(P26,":",S26),Y26)+IF(F68=CONCATENATE(P28,":",S28),Y28)+IF(F68=CONCATENATE(P30,":",S30),Y30)+IF(F68=CONCATENATE(P32,":",S32),Y32)+IF(F68=CONCATENATE(P34,":",S34),Y34)+IF(F68=CONCATENATE(P36,":",S36),Y36)+IF(F68=CONCATENATE(P36,":",S36),Y36)</f>
        <v>0</v>
      </c>
      <c r="H68" s="36"/>
    </row>
    <row r="69" spans="2:8" ht="15" x14ac:dyDescent="0.3">
      <c r="B69" s="34"/>
      <c r="C69" s="35"/>
      <c r="D69" s="35"/>
      <c r="E69" s="35"/>
      <c r="F69" s="41" t="s">
        <v>258</v>
      </c>
      <c r="G69" s="75">
        <f>IF(F69=CONCATENATE(P14,":",S14),Y14)+IF(F69=CONCATENATE(P16,":",S16),Y16)+IF(F69=CONCATENATE(P18,":",S18),Y18)+IF(F69=CONCATENATE(P20,":",S20),Y20)+IF(F69=CONCATENATE(P22,":",S22),Y22)+IF(F69=CONCATENATE(P24,":",S24),Y24)+IF(F69=CONCATENATE(P26,":",S26),Y26)+IF(F69=CONCATENATE(P28,":",S28),Y28)+IF(F69=CONCATENATE(P30,":",S30),Y30)+IF(F69=CONCATENATE(P32,":",S32),Y32)+IF(F69=CONCATENATE(P34,":",S34),Y34)+IF(F69=CONCATENATE(P36,":",S36),Y36)+IF(F69=CONCATENATE(P36,":",S36),Y36)</f>
        <v>0</v>
      </c>
      <c r="H69" s="36"/>
    </row>
    <row r="70" spans="2:8" ht="15" x14ac:dyDescent="0.3">
      <c r="B70" s="34"/>
      <c r="C70" s="35"/>
      <c r="D70" s="35"/>
      <c r="E70" s="35"/>
      <c r="F70" s="41" t="s">
        <v>259</v>
      </c>
      <c r="G70" s="75">
        <f>IF(F70=CONCATENATE(P14,":",S14),Y14)+IF(F70=CONCATENATE(P16,":",S16),Y16)+IF(F70=CONCATENATE(P18,":",S18),Y18)+IF(F70=CONCATENATE(P20,":",S20),Y20)+IF(F70=CONCATENATE(P22,":",S22),Y22)+IF(F70=CONCATENATE(P24,":",S24),Y24)+IF(F70=CONCATENATE(P26,":",S26),Y26)+IF(F70=CONCATENATE(P28,":",S28),Y28)+IF(F70=CONCATENATE(P30,":",S30),Y30)+IF(F70=CONCATENATE(P32,":",S32),Y32)+IF(F70=CONCATENATE(P34,":",S34),Y34)+IF(F70=CONCATENATE(P36,":",S36),Y36)+IF(F70=CONCATENATE(P36,":",S36),Y36)</f>
        <v>0</v>
      </c>
      <c r="H70" s="36"/>
    </row>
    <row r="71" spans="2:8" ht="15" x14ac:dyDescent="0.3">
      <c r="B71" s="34"/>
      <c r="C71" s="35"/>
      <c r="D71" s="35"/>
      <c r="E71" s="35"/>
      <c r="F71" s="41" t="s">
        <v>260</v>
      </c>
      <c r="G71" s="75">
        <f>IF(F71=CONCATENATE(P14,":",S14),Y14)+IF(F71=CONCATENATE(P16,":",S16),Y16)+IF(F71=CONCATENATE(P18,":",S18),Y18)+IF(F71=CONCATENATE(P20,":",S20),Y20)+IF(F71=CONCATENATE(P22,":",S22),Y22)+IF(F71=CONCATENATE(P24,":",S24),Y24)+IF(F71=CONCATENATE(P26,":",S26),Y26)+IF(F71=CONCATENATE(P28,":",S28),Y28)+IF(F71=CONCATENATE(P30,":",S30),Y30)+IF(F71=CONCATENATE(P32,":",S32),Y32)+IF(F71=CONCATENATE(P34,":",S34),Y34)+IF(F71=CONCATENATE(P36,":",S36),Y36)+IF(F71=CONCATENATE(P36,":",S36),Y36)</f>
        <v>0</v>
      </c>
      <c r="H71" s="36"/>
    </row>
    <row r="72" spans="2:8" ht="15" x14ac:dyDescent="0.3">
      <c r="B72" s="34"/>
      <c r="C72" s="35"/>
      <c r="D72" s="35"/>
      <c r="E72" s="35"/>
      <c r="F72" s="41" t="s">
        <v>261</v>
      </c>
      <c r="G72" s="75">
        <f>IF(F72=CONCATENATE(P14,":",S14),Y14)+IF(F72=CONCATENATE(P16,":",S16),Y16)+IF(F72=CONCATENATE(P18,":",S18),Y18)+IF(F72=CONCATENATE(P20,":",S20),Y20)+IF(F72=CONCATENATE(P22,":",S22),Y22)+IF(F72=CONCATENATE(P24,":",S24),Y24)+IF(F72=CONCATENATE(P26,":",S26),Y26)+IF(F72=CONCATENATE(P28,":",S28),Y28)+IF(F72=CONCATENATE(P30,":",S30),Y30)+IF(F72=CONCATENATE(P32,":",S32),Y32)+IF(F72=CONCATENATE(P34,":",S34),Y34)+IF(F72=CONCATENATE(P36,":",S36),Y36)+IF(F72=CONCATENATE(P36,":",S36),Y36)</f>
        <v>0</v>
      </c>
      <c r="H72" s="36"/>
    </row>
    <row r="73" spans="2:8" ht="15" x14ac:dyDescent="0.3">
      <c r="B73" s="34"/>
      <c r="C73" s="35"/>
      <c r="D73" s="35"/>
      <c r="E73" s="35"/>
      <c r="F73" s="41" t="s">
        <v>262</v>
      </c>
      <c r="G73" s="75">
        <f>IF(F73=CONCATENATE(P14,":",S14),Y14)+IF(F73=CONCATENATE(P16,":",S16),Y16)+IF(F73=CONCATENATE(P18,":",S18),Y18)+IF(F73=CONCATENATE(P20,":",S20),Y20)+IF(F73=CONCATENATE(P22,":",S22),Y22)+IF(F73=CONCATENATE(P24,":",S24),Y24)+IF(F73=CONCATENATE(P26,":",S26),Y26)+IF(F73=CONCATENATE(P28,":",S28),Y28)+IF(F73=CONCATENATE(P30,":",S30),Y30)+IF(F73=CONCATENATE(P32,":",S32),Y32)+IF(F73=CONCATENATE(P34,":",S34),Y34)+IF(F73=CONCATENATE(P36,":",S36),Y36)+IF(F73=CONCATENATE(P36,":",S36),Y36)</f>
        <v>4</v>
      </c>
      <c r="H73" s="36"/>
    </row>
    <row r="74" spans="2:8" ht="15" x14ac:dyDescent="0.3">
      <c r="B74" s="34"/>
      <c r="C74" s="35"/>
      <c r="D74" s="35"/>
      <c r="E74" s="35"/>
      <c r="F74" s="41" t="s">
        <v>263</v>
      </c>
      <c r="G74" s="75">
        <f>IF(F74=CONCATENATE(P14,":",S14),Y14)+IF(F74=CONCATENATE(P16,":",S16),Y16)+IF(F74=CONCATENATE(P18,":",S18),Y18)+IF(F74=CONCATENATE(P20,":",S20),Y20)+IF(F74=CONCATENATE(P22,":",S22),Y22)+IF(F74=CONCATENATE(P24,":",S24),Y24)+IF(F74=CONCATENATE(P26,":",S26),Y26)+IF(F74=CONCATENATE(P28,":",S28),Y28)+IF(F74=CONCATENATE(P30,":",S30),Y30)+IF(F74=CONCATENATE(P32,":",S32),Y32)+IF(F74=CONCATENATE(P34,":",S34),Y34)+IF(F74=CONCATENATE(P36,":",S36),Y36)+IF(F74=CONCATENATE(P36,":",S36),Y36)</f>
        <v>0</v>
      </c>
      <c r="H74" s="36"/>
    </row>
    <row r="75" spans="2:8" ht="15" x14ac:dyDescent="0.3">
      <c r="B75" s="34"/>
      <c r="C75" s="35"/>
      <c r="D75" s="35"/>
      <c r="E75" s="35"/>
      <c r="F75" s="41" t="s">
        <v>264</v>
      </c>
      <c r="G75" s="75">
        <f>IF(F75=CONCATENATE(P14,":",S14),Y14)+IF(F75=CONCATENATE(P16,":",S16),Y16)+IF(F75=CONCATENATE(P18,":",S18),Y18)+IF(F75=CONCATENATE(P20,":",S20),Y20)+IF(F75=CONCATENATE(P22,":",S22),Y22)+IF(F75=CONCATENATE(P24,":",S24),Y24)+IF(F75=CONCATENATE(P26,":",S26),Y26)+IF(F75=CONCATENATE(P28,":",S28),Y28)+IF(F75=CONCATENATE(P30,":",S30),Y30)+IF(F75=CONCATENATE(P32,":",S32),Y32)+IF(F75=CONCATENATE(P34,":",S34),Y34)+IF(F75=CONCATENATE(P36,":",S36),Y36)+IF(F75=CONCATENATE(P36,":",S36),Y36)</f>
        <v>0</v>
      </c>
      <c r="H75" s="36"/>
    </row>
    <row r="76" spans="2:8" ht="15" x14ac:dyDescent="0.3">
      <c r="B76" s="34"/>
      <c r="C76" s="35"/>
      <c r="D76" s="35"/>
      <c r="E76" s="35"/>
      <c r="F76" s="41" t="s">
        <v>265</v>
      </c>
      <c r="G76" s="75">
        <f>IF(F76=CONCATENATE(P14,":",S14),Y14)+IF(F76=CONCATENATE(P16,":",S16),Y16)+IF(F76=CONCATENATE(P18,":",S18),Y18)+IF(F76=CONCATENATE(P20,":",S20),Y20)+IF(F76=CONCATENATE(P22,":",S22),Y22)+IF(F76=CONCATENATE(P24,":",S24),Y24)+IF(F76=CONCATENATE(P26,":",S26),Y26)+IF(F76=CONCATENATE(P28,":",S28),Y28)+IF(F76=CONCATENATE(P30,":",S30),Y30)+IF(F76=CONCATENATE(P32,":",S32),Y32)+IF(F76=CONCATENATE(P34,":",S34),Y34)+IF(F76=CONCATENATE(P36,":",S36),Y36)+IF(F76=CONCATENATE(P36,":",S36),Y36)</f>
        <v>0</v>
      </c>
      <c r="H76" s="36"/>
    </row>
    <row r="77" spans="2:8" ht="15" x14ac:dyDescent="0.3">
      <c r="B77" s="34"/>
      <c r="C77" s="35"/>
      <c r="D77" s="35"/>
      <c r="E77" s="35"/>
      <c r="F77" s="41" t="s">
        <v>266</v>
      </c>
      <c r="G77" s="75">
        <f>IF(F77=CONCATENATE(P14,":",S14),Y14)+IF(F77=CONCATENATE(P16,":",S16),Y16)+IF(F77=CONCATENATE(P18,":",S18),Y18)+IF(F77=CONCATENATE(P20,":",S20),Y20)+IF(F77=CONCATENATE(P22,":",S22),Y22)+IF(F77=CONCATENATE(P24,":",S24),Y24)+IF(F77=CONCATENATE(P26,":",S26),Y26)+IF(F77=CONCATENATE(P28,":",S28),Y28)+IF(F77=CONCATENATE(P30,":",S30),Y30)+IF(F77=CONCATENATE(P32,":",S32),Y32)+IF(F77=CONCATENATE(P34,":",S34),Y34)+IF(F77=CONCATENATE(P36,":",S36),Y36)+IF(F77=CONCATENATE(P36,":",S36),Y36)</f>
        <v>3</v>
      </c>
      <c r="H77" s="36"/>
    </row>
    <row r="78" spans="2:8" ht="15" x14ac:dyDescent="0.3">
      <c r="B78" s="34"/>
      <c r="C78" s="35"/>
      <c r="D78" s="35"/>
      <c r="E78" s="35"/>
      <c r="F78" s="41" t="s">
        <v>267</v>
      </c>
      <c r="G78" s="75">
        <f>IF(F78=CONCATENATE(P14,":",S14),Y14)+IF(F78=CONCATENATE(P16,":",S16),Y16)+IF(F78=CONCATENATE(P18,":",S18),Y18)+IF(F78=CONCATENATE(P20,":",S20),Y20)+IF(F78=CONCATENATE(P22,":",S22),Y22)+IF(F78=CONCATENATE(P24,":",S24),Y24)+IF(F78=CONCATENATE(P26,":",S26),Y26)+IF(F78=CONCATENATE(P28,":",S28),Y28)+IF(F78=CONCATENATE(P30,":",S30),Y30)+IF(F78=CONCATENATE(P32,":",S32),Y32)+IF(F78=CONCATENATE(P34,":",S34),Y34)+IF(F78=CONCATENATE(P36,":",S36),Y36)+IF(F78=CONCATENATE(P36,":",S36),Y36)</f>
        <v>0</v>
      </c>
      <c r="H78" s="36"/>
    </row>
    <row r="79" spans="2:8" ht="15" x14ac:dyDescent="0.3">
      <c r="B79" s="34"/>
      <c r="C79" s="35"/>
      <c r="D79" s="35"/>
      <c r="E79" s="35"/>
      <c r="F79" s="41" t="s">
        <v>268</v>
      </c>
      <c r="G79" s="75">
        <f>IF(F79=CONCATENATE(P14,":",S14),Y14)+IF(F79=CONCATENATE(P16,":",S16),Y16)+IF(F79=CONCATENATE(P18,":",S18),Y18)+IF(F79=CONCATENATE(P20,":",S20),Y20)+IF(F79=CONCATENATE(P22,":",S22),Y22)+IF(F79=CONCATENATE(P24,":",S24),Y24)+IF(F79=CONCATENATE(P26,":",S26),Y26)+IF(F79=CONCATENATE(P28,":",S28),Y28)+IF(F79=CONCATENATE(P30,":",S30),Y30)+IF(F79=CONCATENATE(P32,":",S32),Y32)+IF(F79=CONCATENATE(P34,":",S34),Y34)+IF(F79=CONCATENATE(P36,":",S36),Y36)+IF(F79=CONCATENATE(P36,":",S36),Y36)</f>
        <v>0</v>
      </c>
      <c r="H79" s="36"/>
    </row>
    <row r="80" spans="2:8" ht="15" x14ac:dyDescent="0.3">
      <c r="B80" s="34"/>
      <c r="C80" s="35"/>
      <c r="D80" s="35"/>
      <c r="E80" s="35"/>
      <c r="F80" s="41" t="s">
        <v>269</v>
      </c>
      <c r="G80" s="75">
        <f>IF(F80=CONCATENATE(P14,":",S14),Y14)+IF(F80=CONCATENATE(P16,":",S16),Y16)+IF(F80=CONCATENATE(P18,":",S18),Y18)+IF(F80=CONCATENATE(P20,":",S20),Y20)+IF(F80=CONCATENATE(P22,":",S22),Y22)+IF(F80=CONCATENATE(P24,":",S24),Y24)+IF(F80=CONCATENATE(P26,":",S26),Y26)+IF(F80=CONCATENATE(P28,":",S28),Y28)+IF(F80=CONCATENATE(P30,":",S30),Y30)+IF(F80=CONCATENATE(P32,":",S32),Y32)+IF(F80=CONCATENATE(P34,":",S34),Y34)+IF(F80=CONCATENATE(P36,":",S36),Y36)+IF(F80=CONCATENATE(P36,":",S36),Y36)</f>
        <v>0</v>
      </c>
      <c r="H80" s="36"/>
    </row>
    <row r="81" spans="2:8" ht="15" x14ac:dyDescent="0.3">
      <c r="B81" s="34"/>
      <c r="C81" s="35"/>
      <c r="D81" s="35"/>
      <c r="E81" s="35"/>
      <c r="F81" s="41" t="s">
        <v>270</v>
      </c>
      <c r="G81" s="75">
        <f>IF(F81=CONCATENATE(P14,":",S14),Y14)+IF(F81=CONCATENATE(P16,":",S16),Y16)+IF(F81=CONCATENATE(P18,":",S18),Y18)+IF(F81=CONCATENATE(P20,":",S20),Y20)+IF(F81=CONCATENATE(P22,":",S22),Y22)+IF(F81=CONCATENATE(P24,":",S24),Y24)+IF(F81=CONCATENATE(P26,":",S26),Y26)+IF(F81=CONCATENATE(P28,":",S28),Y28)+IF(F81=CONCATENATE(P30,":",S30),Y30)+IF(F81=CONCATENATE(P32,":",S32),Y32)+IF(F81=CONCATENATE(P34,":",S34),Y34)+IF(F81=CONCATENATE(P36,":",S36),Y36)+IF(F81=CONCATENATE(P36,":",S36),Y36)</f>
        <v>0</v>
      </c>
      <c r="H81" s="36"/>
    </row>
    <row r="82" spans="2:8" ht="15" x14ac:dyDescent="0.3">
      <c r="B82" s="34"/>
      <c r="C82" s="35"/>
      <c r="D82" s="35"/>
      <c r="E82" s="35"/>
      <c r="F82" s="41" t="s">
        <v>271</v>
      </c>
      <c r="G82" s="75">
        <f>IF(F82=CONCATENATE(P14,":",S14),Y14)+IF(F82=CONCATENATE(P16,":",S16),Y16)+IF(F82=CONCATENATE(P18,":",S18),Y18)+IF(F82=CONCATENATE(P20,":",S20),Y20)+IF(F82=CONCATENATE(P22,":",S22),Y22)+IF(F82=CONCATENATE(P24,":",S24),Y24)+IF(F82=CONCATENATE(P26,":",S26),Y26)+IF(F82=CONCATENATE(P28,":",S28),Y28)+IF(F82=CONCATENATE(P30,":",S30),Y30)+IF(F82=CONCATENATE(P32,":",S32),Y32)+IF(F82=CONCATENATE(P34,":",S34),Y34)+IF(F82=CONCATENATE(P36,":",S36),Y36)+IF(F82=CONCATENATE(P36,":",S36),Y36)</f>
        <v>0</v>
      </c>
      <c r="H82" s="36"/>
    </row>
    <row r="83" spans="2:8" ht="15" x14ac:dyDescent="0.3">
      <c r="B83" s="34"/>
      <c r="C83" s="35"/>
      <c r="D83" s="35"/>
      <c r="E83" s="35"/>
      <c r="F83" s="41" t="s">
        <v>272</v>
      </c>
      <c r="G83" s="75">
        <f>IF(F83=CONCATENATE(P14,":",S14),Y14)+IF(F83=CONCATENATE(P16,":",S16),Y16)+IF(F83=CONCATENATE(P18,":",S18),Y18)+IF(F83=CONCATENATE(P20,":",S20),Y20)+IF(F83=CONCATENATE(P22,":",S22),Y22)+IF(F83=CONCATENATE(P24,":",S24),Y24)+IF(F83=CONCATENATE(P26,":",S26),Y26)+IF(F83=CONCATENATE(P28,":",S28),Y28)+IF(F83=CONCATENATE(P30,":",S30),Y30)+IF(F83=CONCATENATE(P32,":",S32),Y32)+IF(F83=CONCATENATE(P34,":",S34),Y34)+IF(F83=CONCATENATE(P36,":",S36),Y36)+IF(F83=CONCATENATE(P36,":",S36),Y36)</f>
        <v>0</v>
      </c>
      <c r="H83" s="36"/>
    </row>
    <row r="84" spans="2:8" ht="15" x14ac:dyDescent="0.3">
      <c r="B84" s="34"/>
      <c r="C84" s="35"/>
      <c r="D84" s="35"/>
      <c r="E84" s="35"/>
      <c r="F84" s="41" t="s">
        <v>273</v>
      </c>
      <c r="G84" s="75">
        <f>IF(F84=CONCATENATE(P14,":",S14),Y14)+IF(F84=CONCATENATE(P16,":",S16),Y16)+IF(F84=CONCATENATE(P18,":",S18),Y18)+IF(F84=CONCATENATE(P20,":",S20),Y20)+IF(F84=CONCATENATE(P22,":",S22),Y22)+IF(F84=CONCATENATE(P24,":",S24),Y24)+IF(F84=CONCATENATE(P26,":",S26),Y26)+IF(F84=CONCATENATE(P28,":",S28),Y28)+IF(F84=CONCATENATE(P30,":",S30),Y30)+IF(F84=CONCATENATE(P32,":",S32),Y32)+IF(F84=CONCATENATE(P34,":",S34),Y34)+IF(F84=CONCATENATE(P36,":",S36),Y36)+IF(F84=CONCATENATE(P36,":",S36),Y36)</f>
        <v>0</v>
      </c>
      <c r="H84" s="36"/>
    </row>
    <row r="85" spans="2:8" ht="15" x14ac:dyDescent="0.3">
      <c r="B85" s="34"/>
      <c r="C85" s="35"/>
      <c r="D85" s="35"/>
      <c r="E85" s="35"/>
      <c r="F85" s="41" t="s">
        <v>274</v>
      </c>
      <c r="G85" s="75">
        <f>IF(F85=CONCATENATE(P14,":",S14),Y14)+IF(F85=CONCATENATE(P16,":",S16),Y16)+IF(F85=CONCATENATE(P18,":",S18),Y18)+IF(F85=CONCATENATE(P20,":",S20),Y20)+IF(F85=CONCATENATE(P22,":",S22),Y22)+IF(F85=CONCATENATE(P24,":",S24),Y24)+IF(F85=CONCATENATE(P26,":",S26),Y26)+IF(F85=CONCATENATE(P28,":",S28),Y28)+IF(F85=CONCATENATE(P30,":",S30),Y30)+IF(F85=CONCATENATE(P32,":",S32),Y32)+IF(F85=CONCATENATE(P34,":",S34),Y34)+IF(F85=CONCATENATE(P36,":",S36),Y36)+IF(F85=CONCATENATE(P36,":",S36),Y36)</f>
        <v>0</v>
      </c>
      <c r="H85" s="36"/>
    </row>
    <row r="86" spans="2:8" ht="15" x14ac:dyDescent="0.3">
      <c r="B86" s="37"/>
      <c r="C86" s="38"/>
      <c r="D86" s="38"/>
      <c r="E86" s="38"/>
      <c r="F86" s="42" t="s">
        <v>275</v>
      </c>
      <c r="G86" s="76">
        <f>IF(F86=CONCATENATE(P14,":",S14),Y14)+IF(F86=CONCATENATE(P16,":",S16),Y16)+IF(F86=CONCATENATE(P18,":",S18),Y18)+IF(F86=CONCATENATE(P20,":",S20),Y20)+IF(F86=CONCATENATE(P22,":",S22),Y22)+IF(F86=CONCATENATE(P24,":",S24),Y24)+IF(F86=CONCATENATE(P26,":",S26),Y26)+IF(F86=CONCATENATE(P28,":",S28),Y28)+IF(F86=CONCATENATE(P30,":",S30),Y30)+IF(F86=CONCATENATE(P32,":",S32),Y32)+IF(F86=CONCATENATE(P34,":",S34),Y34)+IF(F86=CONCATENATE(P36,":",S36),Y36)+IF(F86=CONCATENATE(P36,":",S36),Y36)</f>
        <v>0</v>
      </c>
      <c r="H86" s="39"/>
    </row>
    <row r="89" spans="2:8" s="64" customFormat="1" ht="15" x14ac:dyDescent="0.3">
      <c r="B89" s="65"/>
      <c r="C89" s="66"/>
      <c r="D89" s="66"/>
      <c r="E89" s="66"/>
      <c r="F89" s="78" t="s">
        <v>291</v>
      </c>
      <c r="G89" s="74">
        <f>IF( F89=CONCATENATE(G14,":",J14),Y14)+IF( F89=CONCATENATE(G16,":",J16),Y16)+IF( F89=CONCATENATE(G18,":",J18),Y18)+IF( F89=CONCATENATE(G20,":",J20),Y20)+IF( F89=CONCATENATE(G22,":",J22),Y22)+IF( F89=CONCATENATE(G24,":",J24),Y24)+IF( F89=CONCATENATE(G26,":",J26),Y26)+IF( F89=CONCATENATE(G28,":",J28),Y28)+IF( F89=CONCATENATE(P30,":",S30),Y30)+IF( F89=CONCATENATE(P32,":",S32),Y32)+IF( F89=CONCATENATE(P34,":",S34),Y34)+IF( F89=CONCATENATE(P36,":",S36),Y36)</f>
        <v>0</v>
      </c>
      <c r="H89" s="67"/>
    </row>
    <row r="90" spans="2:8" s="64" customFormat="1" ht="15" x14ac:dyDescent="0.3">
      <c r="B90" s="68"/>
      <c r="C90" s="69"/>
      <c r="D90" s="69"/>
      <c r="E90" s="69"/>
      <c r="F90" s="77" t="s">
        <v>221</v>
      </c>
      <c r="G90" s="79">
        <f>IF( F90=CONCATENATE(G14,":",J14),Y14)+IF( F90=CONCATENATE(G16,":",J16),Y16)+IF( F90=CONCATENATE(G18,":",J18),Y18)+IF( F90=CONCATENATE(G20,":",J20),Y20)+IF( F90=CONCATENATE(G22,":",J22),Y22)+IF( F90=CONCATENATE(G24,":",J24),Y24)+IF( F90=CONCATENATE(G26,":",J26),Y26)+IF( F90=CONCATENATE(G28,":",J28),Y28)+IF( F90=CONCATENATE(P30,":",S30),Y30)+IF( F90=CONCATENATE(P32,":",S32),Y32)+IF( F90=CONCATENATE(P34,":",S34),Y34)+IF( F90=CONCATENATE(P36,":",S36),Y36)</f>
        <v>0</v>
      </c>
      <c r="H90" s="70"/>
    </row>
    <row r="91" spans="2:8" s="64" customFormat="1" ht="15" x14ac:dyDescent="0.3">
      <c r="B91" s="68"/>
      <c r="C91" s="69"/>
      <c r="D91" s="69"/>
      <c r="E91" s="69"/>
      <c r="F91" s="77" t="s">
        <v>281</v>
      </c>
      <c r="G91" s="79">
        <f>IF( F91=CONCATENATE(G14,":",J14),Y14)+IF( F91=CONCATENATE(G16,":",J16),Y16)+IF( F91=CONCATENATE(G18,":",J18),Y18)+IF( F91=CONCATENATE(G20,":",J20),Y20)+IF( F91=CONCATENATE(G22,":",J22),Y22)+IF( F91=CONCATENATE(G24,":",J24),Y24)+IF( F91=CONCATENATE(G26,":",J26),Y26)+IF( F91=CONCATENATE(G28,":",J28),Y28)+IF( F91=CONCATENATE(P30,":",S30),Y30)+IF( F91=CONCATENATE(P32,":",S32),Y32)+IF( F91=CONCATENATE(P34,":",S34),Y34)+IF( F91=CONCATENATE(P36,":",S36),Y36)</f>
        <v>0</v>
      </c>
      <c r="H91" s="70"/>
    </row>
    <row r="92" spans="2:8" s="64" customFormat="1" ht="15" x14ac:dyDescent="0.3">
      <c r="B92" s="68"/>
      <c r="C92" s="69"/>
      <c r="D92" s="69"/>
      <c r="E92" s="69"/>
      <c r="F92" s="77" t="s">
        <v>222</v>
      </c>
      <c r="G92" s="79">
        <f>IF( F92=CONCATENATE(G14,":",J14),Y14)+IF( F92=CONCATENATE(G16,":",J16),Y16)+IF( F92=CONCATENATE(G18,":",J18),Y18)+IF( F92=CONCATENATE(G20,":",J20),Y20)+IF( F92=CONCATENATE(G22,":",J22),Y22)+IF( F92=CONCATENATE(G24,":",J24),Y24)+IF( F92=CONCATENATE(G26,":",J26),Y26)+IF( F92=CONCATENATE(G28,":",J28),Y28)+IF( F92=CONCATENATE(P30,":",S30),Y30)+IF( F92=CONCATENATE(P32,":",S32),Y32)+IF( F92=CONCATENATE(P34,":",S34),Y34)+IF( F92=CONCATENATE(P36,":",S36),Y36)</f>
        <v>0</v>
      </c>
      <c r="H92" s="70"/>
    </row>
    <row r="93" spans="2:8" s="64" customFormat="1" ht="15" x14ac:dyDescent="0.3">
      <c r="B93" s="68"/>
      <c r="C93" s="69"/>
      <c r="D93" s="69"/>
      <c r="E93" s="69"/>
      <c r="F93" s="77" t="s">
        <v>223</v>
      </c>
      <c r="G93" s="79">
        <f>IF( F93=CONCATENATE(G14,":",J14),Y14)+IF( F93=CONCATENATE(G16,":",J16),Y16)+IF( F93=CONCATENATE(G18,":",J18),Y18)+IF( F93=CONCATENATE(G20,":",J20),Y20)+IF( F93=CONCATENATE(G22,":",J22),Y22)+IF( F93=CONCATENATE(G24,":",J24),Y24)+IF( F93=CONCATENATE(G26,":",J26),Y26)+IF( F93=CONCATENATE(G28,":",J28),Y28)+IF( F93=CONCATENATE(P30,":",S30),Y30)+IF( F93=CONCATENATE(P32,":",S32),Y32)+IF( F93=CONCATENATE(P34,":",S34),Y34)+IF( F93=CONCATENATE(P36,":",S36),Y36)</f>
        <v>0</v>
      </c>
      <c r="H93" s="70"/>
    </row>
    <row r="94" spans="2:8" s="64" customFormat="1" ht="15" x14ac:dyDescent="0.3">
      <c r="B94" s="68"/>
      <c r="C94" s="69"/>
      <c r="D94" s="69"/>
      <c r="E94" s="69"/>
      <c r="F94" s="77" t="s">
        <v>224</v>
      </c>
      <c r="G94" s="79">
        <f>IF( F94=CONCATENATE(G14,":",J14),Y14)+IF( F94=CONCATENATE(G16,":",J16),Y16)+IF( F94=CONCATENATE(G18,":",J18),Y18)+IF( F94=CONCATENATE(G20,":",J20),Y20)+IF( F94=CONCATENATE(G22,":",J22),Y22)+IF( F94=CONCATENATE(G24,":",J24),Y24)+IF( F94=CONCATENATE(G26,":",J26),Y26)+IF( F94=CONCATENATE(G28,":",J28),Y28)+IF( F94=CONCATENATE(P30,":",S30),Y30)+IF( F94=CONCATENATE(P32,":",S32),Y32)+IF( F94=CONCATENATE(P34,":",S34),Y34)+IF( F94=CONCATENATE(P36,":",S36),Y36)</f>
        <v>0</v>
      </c>
      <c r="H94" s="70"/>
    </row>
    <row r="95" spans="2:8" s="64" customFormat="1" ht="15" x14ac:dyDescent="0.3">
      <c r="B95" s="68"/>
      <c r="C95" s="69"/>
      <c r="D95" s="69"/>
      <c r="E95" s="69"/>
      <c r="F95" s="77" t="s">
        <v>225</v>
      </c>
      <c r="G95" s="79">
        <f>IF( F95=CONCATENATE(G14,":",J14),Y14)+IF( F95=CONCATENATE(G16,":",J16),Y16)+IF( F95=CONCATENATE(G18,":",J18),Y18)+IF( F95=CONCATENATE(G20,":",J20),Y20)+IF( F95=CONCATENATE(G22,":",J22),Y22)+IF( F95=CONCATENATE(G24,":",J24),Y24)+IF( F95=CONCATENATE(G26,":",J26),Y26)+IF( F95=CONCATENATE(G28,":",J28),Y28)+IF( F95=CONCATENATE(P30,":",S30),Y30)+IF( F95=CONCATENATE(P32,":",S32),Y32)+IF( F95=CONCATENATE(P34,":",S34),Y34)+IF( F95=CONCATENATE(P36,":",S36),Y36)</f>
        <v>0</v>
      </c>
      <c r="H95" s="70"/>
    </row>
    <row r="96" spans="2:8" s="64" customFormat="1" ht="15" x14ac:dyDescent="0.3">
      <c r="B96" s="68"/>
      <c r="C96" s="69"/>
      <c r="D96" s="69"/>
      <c r="E96" s="69"/>
      <c r="F96" s="77" t="s">
        <v>226</v>
      </c>
      <c r="G96" s="79">
        <f>IF( F96=CONCATENATE(G14,":",J14),Y14)+IF( F96=CONCATENATE(G16,":",J16),Y16)+IF( F96=CONCATENATE(G18,":",J18),Y18)+IF( F96=CONCATENATE(G20,":",J20),Y20)+IF( F96=CONCATENATE(G22,":",J22),Y22)+IF( F96=CONCATENATE(G24,":",J24),Y24)+IF( F96=CONCATENATE(G26,":",J26),Y26)+IF( F96=CONCATENATE(G28,":",J28),Y28)+IF( F96=CONCATENATE(P30,":",S30),Y30)+IF( F96=CONCATENATE(P32,":",S32),Y32)+IF( F96=CONCATENATE(P34,":",S34),Y34)+IF( F96=CONCATENATE(P36,":",S36),Y36)</f>
        <v>0</v>
      </c>
      <c r="H96" s="70"/>
    </row>
    <row r="97" spans="2:8" s="64" customFormat="1" ht="15" x14ac:dyDescent="0.3">
      <c r="B97" s="68"/>
      <c r="C97" s="69"/>
      <c r="D97" s="69"/>
      <c r="E97" s="69"/>
      <c r="F97" s="77" t="s">
        <v>309</v>
      </c>
      <c r="G97" s="79">
        <f>IF( F97=CONCATENATE(G14,":",J14),Y14)+IF( F97=CONCATENATE(G16,":",J16),Y16)+IF( F97=CONCATENATE(G18,":",J18),Y18)+IF( F97=CONCATENATE(G20,":",J20),Y20)+IF( F97=CONCATENATE(G22,":",J22),Y22)+IF( F97=CONCATENATE(G24,":",J24),Y24)+IF( F97=CONCATENATE(G26,":",J26),Y26)+IF( F97=CONCATENATE(G28,":",J28),Y28)+IF( F97=CONCATENATE(P30,":",S30),Y30)+IF( F97=CONCATENATE(P32,":",S32),Y32)+IF( F97=CONCATENATE(P34,":",S34),Y34)+IF( F97=CONCATENATE(P36,":",S36),Y36)</f>
        <v>0</v>
      </c>
      <c r="H97" s="70"/>
    </row>
    <row r="98" spans="2:8" s="64" customFormat="1" ht="15" x14ac:dyDescent="0.3">
      <c r="B98" s="68"/>
      <c r="C98" s="69"/>
      <c r="D98" s="69"/>
      <c r="E98" s="69"/>
      <c r="F98" s="77" t="s">
        <v>307</v>
      </c>
      <c r="G98" s="79">
        <f>IF( F98=CONCATENATE(G14,":",J14),Y14)+IF( F98=CONCATENATE(G16,":",J16),Y16)+IF( F98=CONCATENATE(G18,":",J18),Y18)+IF( F98=CONCATENATE(G20,":",J20),Y20)+IF( F98=CONCATENATE(G22,":",J22),Y22)+IF( F98=CONCATENATE(G24,":",J24),Y24)+IF( F98=CONCATENATE(G26,":",J26),Y26)+IF( F98=CONCATENATE(G28,":",J28),Y28)+IF( F98=CONCATENATE(P30,":",S30),Y30)+IF( F98=CONCATENATE(P32,":",S32),Y32)+IF( F98=CONCATENATE(P34,":",S34),Y34)+IF( F98=CONCATENATE(P36,":",S36),Y36)</f>
        <v>0</v>
      </c>
      <c r="H98" s="70"/>
    </row>
    <row r="99" spans="2:8" s="64" customFormat="1" ht="15" x14ac:dyDescent="0.3">
      <c r="B99" s="68"/>
      <c r="C99" s="69"/>
      <c r="D99" s="69"/>
      <c r="E99" s="69"/>
      <c r="F99" s="77" t="s">
        <v>325</v>
      </c>
      <c r="G99" s="79">
        <f>IF( F99=CONCATENATE(G14,":",J14),Y14)+IF( F99=CONCATENATE(G16,":",J16),Y16)+IF( F99=CONCATENATE(G18,":",J18),Y18)+IF( F99=CONCATENATE(G20,":",J20),Y20)+IF( F99=CONCATENATE(G22,":",J22),Y22)+IF( F99=CONCATENATE(G24,":",J24),Y24)+IF( F99=CONCATENATE(G26,":",J26),Y26)+IF( F99=CONCATENATE(G28,":",J28),Y28)+IF( F99=CONCATENATE(P30,":",S30),Y30)+IF( F99=CONCATENATE(P32,":",S32),Y32)+IF( F99=CONCATENATE(P34,":",S34),Y34)+IF( F99=CONCATENATE(P36,":",S36),Y36)</f>
        <v>0</v>
      </c>
      <c r="H99" s="70"/>
    </row>
    <row r="100" spans="2:8" s="64" customFormat="1" ht="15" x14ac:dyDescent="0.3">
      <c r="B100" s="68"/>
      <c r="C100" s="69"/>
      <c r="D100" s="69"/>
      <c r="E100" s="69"/>
      <c r="F100" s="77" t="s">
        <v>227</v>
      </c>
      <c r="G100" s="79">
        <f>IF(F100=CONCATENATE(G14,":",J14),Y14)+IF(F100=CONCATENATE(G16,":",J16),Y16)+IF(F100=CONCATENATE(G18,":",J18),Y18)+IF(F100=CONCATENATE(G20,":",J20),Y20)+IF(F100=CONCATENATE(G22,":",J22),Y22)+IF(F100=CONCATENATE(G24,":",J24),Y24)+IF(F100=CONCATENATE(G26,":",J26),Y26)+IF(F100=CONCATENATE(G28,":",J28),Y28)+IF(F100=CONCATENATE(P30,":",S30),Y30)+IF(F100=CONCATENATE(P32,":",S32),Y32)+IF(F100=CONCATENATE(P34,":",S34),Y34)+IF(F100=CONCATENATE(P36,":",S36),Y36)</f>
        <v>0</v>
      </c>
      <c r="H100" s="70"/>
    </row>
    <row r="101" spans="2:8" s="64" customFormat="1" ht="15" x14ac:dyDescent="0.3">
      <c r="B101" s="68"/>
      <c r="C101" s="69"/>
      <c r="D101" s="69"/>
      <c r="E101" s="69"/>
      <c r="F101" s="77" t="s">
        <v>228</v>
      </c>
      <c r="G101" s="79">
        <f>IF(F101=CONCATENATE(G14,":",J14),Y14)+IF(F101=CONCATENATE(G16,":",J16),Y16)+IF(F101=CONCATENATE(G18,":",J18),Y18)+IF(F101=CONCATENATE(G20,":",J20),Y20)+IF(F101=CONCATENATE(G22,":",J22),Y22)+IF(F101=CONCATENATE(G24,":",J24),Y24)+IF(F101=CONCATENATE(G26,":",J26),Y26)+IF(F101=CONCATENATE(G28,":",J28),Y28)+IF(F101=CONCATENATE(P30,":",S30),Y30)+IF(F101=CONCATENATE(P32,":",S32),Y32)+IF(F101=CONCATENATE(P34,":",S34),Y34)+IF(F101=CONCATENATE(P36,":",S36),Y36)</f>
        <v>0</v>
      </c>
      <c r="H101" s="70"/>
    </row>
    <row r="102" spans="2:8" s="64" customFormat="1" ht="15" x14ac:dyDescent="0.3">
      <c r="B102" s="68"/>
      <c r="C102" s="69"/>
      <c r="D102" s="69"/>
      <c r="E102" s="69"/>
      <c r="F102" s="77" t="s">
        <v>229</v>
      </c>
      <c r="G102" s="79">
        <f>IF(F102=CONCATENATE(G14,":",J14),Y14)+IF(F102=CONCATENATE(G16,":",J16),Y16)+IF(F102=CONCATENATE(G18,":",J18),Y18)+IF(F102=CONCATENATE(G20,":",J20),Y20)+IF(F102=CONCATENATE(G22,":",J22),Y22)+IF(F102=CONCATENATE(G24,":",J24),Y24)+IF(F102=CONCATENATE(G26,":",J26),Y26)+IF(F102=CONCATENATE(G28,":",J28),Y28)+IF(F102=CONCATENATE(P30,":",S30),Y30)+IF(F102=CONCATENATE(P32,":",S32),Y32)+IF(F102=CONCATENATE(P34,":",S34),Y34)+IF(F102=CONCATENATE(P36,":",S36),Y36)</f>
        <v>0</v>
      </c>
      <c r="H102" s="70"/>
    </row>
    <row r="103" spans="2:8" s="64" customFormat="1" ht="15" x14ac:dyDescent="0.3">
      <c r="B103" s="68"/>
      <c r="C103" s="69"/>
      <c r="D103" s="69"/>
      <c r="E103" s="69"/>
      <c r="F103" s="77" t="s">
        <v>230</v>
      </c>
      <c r="G103" s="79">
        <f>IF(F103=CONCATENATE(G14,":",J14),Y14)+IF(F103=CONCATENATE(G16,":",J16),Y16)+IF(F103=CONCATENATE(G18,":",J18),Y18)+IF(F103=CONCATENATE(G20,":",J20),Y20)+IF(F103=CONCATENATE(G22,":",J22),Y22)+IF(F103=CONCATENATE(G24,":",J24),Y24)+IF(F103=CONCATENATE(G26,":",J26),Y26)+IF(F103=CONCATENATE(G28,":",J28),Y28)+IF(F103=CONCATENATE(P30,":",S30),Y30)+IF(F103=CONCATENATE(P32,":",S32),Y32)+IF(F103=CONCATENATE(P34,":",S34),Y34)+IF(F103=CONCATENATE(P36,":",S36),Y36)</f>
        <v>0</v>
      </c>
      <c r="H103" s="70"/>
    </row>
    <row r="104" spans="2:8" s="64" customFormat="1" ht="15" x14ac:dyDescent="0.3">
      <c r="B104" s="68"/>
      <c r="C104" s="69"/>
      <c r="D104" s="69"/>
      <c r="E104" s="69"/>
      <c r="F104" s="77" t="s">
        <v>231</v>
      </c>
      <c r="G104" s="79">
        <f>IF(F104=CONCATENATE(G14,":",J14),Y14)+IF(F104=CONCATENATE(G16,":",J16),Y16)+IF(F104=CONCATENATE(G18,":",J18),Y18)+IF(F104=CONCATENATE(G20,":",J20),Y20)+IF(F104=CONCATENATE(G22,":",J22),Y22)+IF(F104=CONCATENATE(G24,":",J24),Y24)+IF(F104=CONCATENATE(G26,":",J26),Y26)+IF(F104=CONCATENATE(G28,":",J28),Y28)+IF(F104=CONCATENATE(P30,":",S30),Y30)+IF(F104=CONCATENATE(P32,":",S32),Y32)+IF(F104=CONCATENATE(P34,":",S34),Y34)+IF(F104=CONCATENATE(P36,":",S36),Y36)</f>
        <v>0</v>
      </c>
      <c r="H104" s="70"/>
    </row>
    <row r="105" spans="2:8" s="64" customFormat="1" ht="15" x14ac:dyDescent="0.3">
      <c r="B105" s="68"/>
      <c r="C105" s="69"/>
      <c r="D105" s="69"/>
      <c r="E105" s="69"/>
      <c r="F105" s="77" t="s">
        <v>232</v>
      </c>
      <c r="G105" s="79">
        <f>IF(F105=CONCATENATE(G14,":",J14),Y14)+IF(F105=CONCATENATE(G16,":",J16),Y16)+IF(F105=CONCATENATE(G18,":",J18),Y18)+IF(F105=CONCATENATE(G20,":",J20),Y20)+IF(F105=CONCATENATE(G22,":",J22),Y22)+IF(F105=CONCATENATE(G24,":",J24),Y24)+IF(F105=CONCATENATE(G26,":",J26),Y26)+IF(F105=CONCATENATE(G28,":",J28),Y28)+IF(F105=CONCATENATE(P30,":",S30),Y30)+IF(F105=CONCATENATE(P32,":",S32),Y32)+IF(F105=CONCATENATE(P34,":",S34),Y34)+IF(F105=CONCATENATE(P36,":",S36),Y36)</f>
        <v>0</v>
      </c>
      <c r="H105" s="70"/>
    </row>
    <row r="106" spans="2:8" s="64" customFormat="1" ht="15" x14ac:dyDescent="0.3">
      <c r="B106" s="68"/>
      <c r="C106" s="69"/>
      <c r="D106" s="69"/>
      <c r="E106" s="69"/>
      <c r="F106" s="77" t="s">
        <v>300</v>
      </c>
      <c r="G106" s="79">
        <f>IF(F106=CONCATENATE(G14,":",J14),Y14)+IF(F106=CONCATENATE(G16,":",J16),Y16)+IF(F106=CONCATENATE(G18,":",J18),Y18)+IF(F106=CONCATENATE(G20,":",J20),Y20)+IF(F106=CONCATENATE(G22,":",J22),Y22)+IF(F106=CONCATENATE(G24,":",J24),Y24)+IF(F106=CONCATENATE(G26,":",J26),Y26)+IF(F106=CONCATENATE(G28,":",J28),Y28)+IF(F106=CONCATENATE(P30,":",S30),Y30)+IF(F106=CONCATENATE(P32,":",S32),Y32)+IF(F106=CONCATENATE(P34,":",S34),Y34)+IF(F106=CONCATENATE(P36,":",S36),Y36)</f>
        <v>0</v>
      </c>
      <c r="H106" s="70"/>
    </row>
    <row r="107" spans="2:8" s="64" customFormat="1" ht="15" x14ac:dyDescent="0.3">
      <c r="B107" s="68"/>
      <c r="C107" s="69"/>
      <c r="D107" s="69"/>
      <c r="E107" s="69"/>
      <c r="F107" s="77" t="s">
        <v>286</v>
      </c>
      <c r="G107" s="79">
        <f>IF(F107=CONCATENATE(G14,":",J14),Y14)+IF(F107=CONCATENATE(G16,":",J16),Y16)+IF(F107=CONCATENATE(G18,":",J18),Y18)+IF(F107=CONCATENATE(G20,":",J20),Y20)+IF(F107=CONCATENATE(G22,":",J22),Y22)+IF(F107=CONCATENATE(G24,":",J24),Y24)+IF(F107=CONCATENATE(G26,":",J26),Y26)+IF(F107=CONCATENATE(G28,":",J28),Y28)+IF(F107=CONCATENATE(P30,":",S30),Y30)+IF(F107=CONCATENATE(P32,":",S32),Y32)+IF(F107=CONCATENATE(P34,":",S34),Y34)+IF(F107=CONCATENATE(P36,":",S36),Y36)</f>
        <v>0</v>
      </c>
      <c r="H107" s="70"/>
    </row>
    <row r="108" spans="2:8" s="64" customFormat="1" ht="15" x14ac:dyDescent="0.3">
      <c r="B108" s="68"/>
      <c r="C108" s="69"/>
      <c r="D108" s="69"/>
      <c r="E108" s="69"/>
      <c r="F108" s="77" t="s">
        <v>233</v>
      </c>
      <c r="G108" s="79">
        <f>IF(F108=CONCATENATE(G14,":",J14),Y14)+IF(F108=CONCATENATE(G16,":",J16),Y16)+IF(F108=CONCATENATE(G18,":",J18),Y18)+IF(F108=CONCATENATE(G20,":",J20),Y20)+IF(F108=CONCATENATE(G22,":",J22),Y22)+IF(F108=CONCATENATE(G24,":",J24),Y24)+IF(F108=CONCATENATE(G26,":",J26),Y26)+IF(F108=CONCATENATE(G28,":",J28),Y28)+IF(F108=CONCATENATE(P30,":",S30),Y30)+IF(F108=CONCATENATE(P32,":",S32),Y32)+IF(F108=CONCATENATE(P34,":",S34),Y34)+IF(F108=CONCATENATE(P36,":",S36),Y36)</f>
        <v>0</v>
      </c>
      <c r="H108" s="70"/>
    </row>
    <row r="109" spans="2:8" s="64" customFormat="1" ht="15" x14ac:dyDescent="0.3">
      <c r="B109" s="68"/>
      <c r="C109" s="69"/>
      <c r="D109" s="69"/>
      <c r="E109" s="69"/>
      <c r="F109" s="77" t="s">
        <v>292</v>
      </c>
      <c r="G109" s="79">
        <f>IF(F109=CONCATENATE(G14,":",J14),Y14)+IF(F109=CONCATENATE(G16,":",J16),Y16)+IF(F109=CONCATENATE(G18,":",J18),Y18)+IF(F109=CONCATENATE(G20,":",J20),Y20)+IF(F109=CONCATENATE(G22,":",J22),Y22)+IF(F109=CONCATENATE(G24,":",J24),Y24)+IF(F109=CONCATENATE(G26,":",J26),Y26)+IF(F109=CONCATENATE(G28,":",J28),Y28)+IF(F109=CONCATENATE(P30,":",S30),Y30)+IF(F109=CONCATENATE(P32,":",S32),Y32)+IF(F109=CONCATENATE(P34,":",S34),Y34)+IF(F109=CONCATENATE(P36,":",S36),Y36)</f>
        <v>0</v>
      </c>
      <c r="H109" s="70"/>
    </row>
    <row r="110" spans="2:8" s="64" customFormat="1" ht="15" x14ac:dyDescent="0.3">
      <c r="B110" s="68"/>
      <c r="C110" s="69"/>
      <c r="D110" s="69"/>
      <c r="E110" s="69"/>
      <c r="F110" s="77" t="s">
        <v>234</v>
      </c>
      <c r="G110" s="79">
        <f>IF(F110=CONCATENATE(G14,":",J14),Y14)+IF(F110=CONCATENATE(G16,":",J16),Y16)+IF(F110=CONCATENATE(G18,":",J18),Y18)+IF(F110=CONCATENATE(G20,":",J20),Y20)+IF(F110=CONCATENATE(G22,":",J22),Y22)+IF(F110=CONCATENATE(G24,":",J24),Y24)+IF(F110=CONCATENATE(G26,":",J26),Y26)+IF(F110=CONCATENATE(G28,":",J28),Y28)+IF(F110=CONCATENATE(P30,":",S30),Y30)+IF(F110=CONCATENATE(P32,":",S32),Y32)+IF(F110=CONCATENATE(P34,":",S34),Y34)+IF(F110=CONCATENATE(P36,":",S36),Y36)</f>
        <v>0</v>
      </c>
      <c r="H110" s="70"/>
    </row>
    <row r="111" spans="2:8" s="64" customFormat="1" ht="15" x14ac:dyDescent="0.3">
      <c r="B111" s="68"/>
      <c r="C111" s="69"/>
      <c r="D111" s="69"/>
      <c r="E111" s="69"/>
      <c r="F111" s="77" t="s">
        <v>235</v>
      </c>
      <c r="G111" s="79">
        <f>IF(F111=CONCATENATE(G14,":",J14),Y14)+IF(F111=CONCATENATE(G16,":",J16),Y16)+IF(F111=CONCATENATE(G18,":",J18),Y18)+IF(F111=CONCATENATE(G20,":",J20),Y20)+IF(F111=CONCATENATE(G22,":",J22),Y22)+IF(F111=CONCATENATE(G24,":",J24),Y24)+IF(F111=CONCATENATE(G26,":",J26),Y26)+IF(F111=CONCATENATE(G28,":",J28),Y28)+IF(F111=CONCATENATE(P30,":",S30),Y30)+IF(F111=CONCATENATE(P32,":",S32),Y32)+IF(F111=CONCATENATE(P34,":",S34),Y34)+IF(F111=CONCATENATE(P36,":",S36),Y36)</f>
        <v>0</v>
      </c>
      <c r="H111" s="70"/>
    </row>
    <row r="112" spans="2:8" s="64" customFormat="1" ht="15" x14ac:dyDescent="0.3">
      <c r="B112" s="68"/>
      <c r="C112" s="69"/>
      <c r="D112" s="69"/>
      <c r="E112" s="69"/>
      <c r="F112" s="77" t="s">
        <v>236</v>
      </c>
      <c r="G112" s="79">
        <f>IF(F112=CONCATENATE(G14,":",J14),Y14)+IF(F112=CONCATENATE(G16,":",J16),Y16)+IF(F112=CONCATENATE(G18,":",J18),Y18)+IF(F112=CONCATENATE(G20,":",J20),Y20)+IF(F112=CONCATENATE(G22,":",J22),Y22)+IF(F112=CONCATENATE(G24,":",J24),Y24)+IF(F112=CONCATENATE(G26,":",J26),Y26)+IF(F112=CONCATENATE(G28,":",J28),Y28)+IF(F112=CONCATENATE(P30,":",S30),Y30)+IF(F112=CONCATENATE(P32,":",S32),Y32)+IF(F112=CONCATENATE(P34,":",S34),Y34)+IF(F112=CONCATENATE(P36,":",S36),Y36)</f>
        <v>0</v>
      </c>
      <c r="H112" s="70"/>
    </row>
    <row r="113" spans="2:8" s="64" customFormat="1" ht="15" x14ac:dyDescent="0.3">
      <c r="B113" s="68"/>
      <c r="C113" s="69"/>
      <c r="D113" s="69"/>
      <c r="E113" s="69"/>
      <c r="F113" s="77" t="s">
        <v>237</v>
      </c>
      <c r="G113" s="79">
        <f>IF(F113=CONCATENATE(G14,":",J14),Y14)+IF(F113=CONCATENATE(G16,":",J16),Y16)+IF(F113=CONCATENATE(G18,":",J18),Y18)+IF(F113=CONCATENATE(G20,":",J20),Y20)+IF(F113=CONCATENATE(G22,":",J22),Y22)+IF(F113=CONCATENATE(G24,":",J24),Y24)+IF(F113=CONCATENATE(G26,":",J26),Y26)+IF(F113=CONCATENATE(G28,":",J28),Y28)+IF(F113=CONCATENATE(P30,":",S30),Y30)+IF(F113=CONCATENATE(P32,":",S32),Y32)+IF(F113=CONCATENATE(P34,":",S34),Y34)+IF(F113=CONCATENATE(P36,":",S36),Y36)</f>
        <v>0</v>
      </c>
      <c r="H113" s="70"/>
    </row>
    <row r="114" spans="2:8" s="64" customFormat="1" ht="15" x14ac:dyDescent="0.3">
      <c r="B114" s="68"/>
      <c r="C114" s="69"/>
      <c r="D114" s="69"/>
      <c r="E114" s="69"/>
      <c r="F114" s="77" t="s">
        <v>238</v>
      </c>
      <c r="G114" s="79">
        <f>IF(F114=CONCATENATE(G14,":",J14),Y14)+IF(F114=CONCATENATE(G16,":",J16),Y16)+IF(F114=CONCATENATE(G18,":",J18),Y18)+IF(F114=CONCATENATE(G20,":",J20),Y20)+IF(F114=CONCATENATE(G22,":",J22),Y22)+IF(F114=CONCATENATE(G24,":",J24),Y24)+IF(F114=CONCATENATE(G26,":",J26),Y26)+IF(F114=CONCATENATE(G28,":",J28),Y28)+IF(F114=CONCATENATE(P30,":",S30),Y30)+IF(F114=CONCATENATE(P32,":",S32),Y32)+IF(F114=CONCATENATE(P34,":",S34),Y34)+IF(F114=CONCATENATE(P36,":",S36),Y36)</f>
        <v>0</v>
      </c>
      <c r="H114" s="70"/>
    </row>
    <row r="115" spans="2:8" s="64" customFormat="1" ht="15" x14ac:dyDescent="0.3">
      <c r="B115" s="68"/>
      <c r="C115" s="69"/>
      <c r="D115" s="69"/>
      <c r="E115" s="69"/>
      <c r="F115" s="77" t="s">
        <v>239</v>
      </c>
      <c r="G115" s="79">
        <f>IF(F115=CONCATENATE(G14,":",J14),Y14)+IF(F115=CONCATENATE(G16,":",J16),Y16)+IF(F115=CONCATENATE(G18,":",J18),Y18)+IF(F115=CONCATENATE(G20,":",J20),Y20)+IF(F115=CONCATENATE(G22,":",J22),Y22)+IF(F115=CONCATENATE(G24,":",J24),Y24)+IF(F115=CONCATENATE(G26,":",J26),Y26)+IF(F115=CONCATENATE(G28,":",J28),Y28)+IF(F115=CONCATENATE(P30,":",S30),Y30)+IF(F115=CONCATENATE(P32,":",S32),Y32)+IF(F115=CONCATENATE(P34,":",S34),Y34)+IF(F115=CONCATENATE(P36,":",S36),Y36)</f>
        <v>0</v>
      </c>
      <c r="H115" s="70"/>
    </row>
    <row r="116" spans="2:8" s="64" customFormat="1" ht="15" x14ac:dyDescent="0.3">
      <c r="B116" s="68"/>
      <c r="C116" s="69"/>
      <c r="D116" s="69"/>
      <c r="E116" s="69"/>
      <c r="F116" s="77" t="s">
        <v>321</v>
      </c>
      <c r="G116" s="79">
        <f>IF(F116=CONCATENATE(G14,":",J14),Y14)+IF(F116=CONCATENATE(G16,":",J16),Y16)+IF(F116=CONCATENATE(G18,":",J18),Y18)+IF(F116=CONCATENATE(G20,":",J20),Y20)+IF(F116=CONCATENATE(G22,":",J22),Y22)+IF(F116=CONCATENATE(G24,":",J24),Y24)+IF(F116=CONCATENATE(G26,":",J26),Y26)+IF(F116=CONCATENATE(G28,":",J28),Y28)+IF(F116=CONCATENATE(P30,":",S30),Y30)+IF(F116=CONCATENATE(P32,":",S32),Y32)+IF(F116=CONCATENATE(P34,":",S34),Y34)+IF(F116=CONCATENATE(P36,":",S36),Y36)</f>
        <v>0</v>
      </c>
      <c r="H116" s="70"/>
    </row>
    <row r="117" spans="2:8" s="64" customFormat="1" ht="15" x14ac:dyDescent="0.3">
      <c r="B117" s="68"/>
      <c r="C117" s="69"/>
      <c r="D117" s="69"/>
      <c r="E117" s="69"/>
      <c r="F117" s="77" t="s">
        <v>240</v>
      </c>
      <c r="G117" s="79">
        <f>IF(F117=CONCATENATE(G14,":",J14),Y14)+IF(F117=CONCATENATE(G16,":",J16),Y16)+IF(F117=CONCATENATE(G18,":",J18),Y18)+IF(F117=CONCATENATE(G20,":",J20),Y20)+IF(F117=CONCATENATE(G22,":",J22),Y22)+IF(F117=CONCATENATE(G24,":",J24),Y24)+IF(F117=CONCATENATE(G26,":",J26),Y26)+IF(F117=CONCATENATE(G28,":",J28),Y28)+IF(F117=CONCATENATE(P30,":",S30),Y30)+IF(F117=CONCATENATE(P32,":",S32),Y32)+IF(F117=CONCATENATE(P34,":",S34),Y34)+IF(F117=CONCATENATE(P36,":",S36),Y36)</f>
        <v>0</v>
      </c>
      <c r="H117" s="70"/>
    </row>
    <row r="118" spans="2:8" s="64" customFormat="1" ht="15" x14ac:dyDescent="0.3">
      <c r="B118" s="68"/>
      <c r="C118" s="69"/>
      <c r="D118" s="69"/>
      <c r="E118" s="69"/>
      <c r="F118" s="77" t="s">
        <v>305</v>
      </c>
      <c r="G118" s="79">
        <f>IF(F118=CONCATENATE(G14,":",J14),Y14)+IF(F118=CONCATENATE(G16,":",J16),Y16)+IF(F118=CONCATENATE(G18,":",J18),Y18)+IF(F118=CONCATENATE(G20,":",J20),Y20)+IF(F118=CONCATENATE(G22,":",J22),Y22)+IF(F118=CONCATENATE(G24,":",J24),Y24)+IF(F118=CONCATENATE(G26,":",J26),Y26)+IF(F118=CONCATENATE(G28,":",J28),Y28)+IF(F118=CONCATENATE(P30,":",S30),Y30)+IF(F118=CONCATENATE(P32,":",S32),Y32)+IF(F118=CONCATENATE(P34,":",S34),Y34)+IF(F118=CONCATENATE(P36,":",S36),Y36)</f>
        <v>0</v>
      </c>
      <c r="H118" s="70"/>
    </row>
    <row r="119" spans="2:8" s="64" customFormat="1" ht="15" x14ac:dyDescent="0.3">
      <c r="B119" s="68"/>
      <c r="C119" s="69"/>
      <c r="D119" s="69"/>
      <c r="E119" s="69"/>
      <c r="F119" s="77" t="s">
        <v>244</v>
      </c>
      <c r="G119" s="79">
        <f>IF(F119=CONCATENATE(G14,":",J14),Y14)+IF(F119=CONCATENATE(G16,":",J16),Y16)+IF(F119=CONCATENATE(G18,":",J18),Y18)+IF(F119=CONCATENATE(G20,":",J20),Y20)+IF(F119=CONCATENATE(G22,":",J22),Y22)+IF(F119=CONCATENATE(G24,":",J24),Y24)+IF(F119=CONCATENATE(G26,":",J26),Y26)+IF(F119=CONCATENATE(G28,":",J28),Y28)+IF(F119=CONCATENATE(P30,":",S30),Y30)+IF(F119=CONCATENATE(P32,":",S32),Y32)+IF(F119=CONCATENATE(P34,":",S34),Y34)+IF(F119=CONCATENATE(P36,":",S36),Y36)</f>
        <v>0</v>
      </c>
      <c r="H119" s="70"/>
    </row>
    <row r="120" spans="2:8" s="64" customFormat="1" ht="15" x14ac:dyDescent="0.3">
      <c r="B120" s="68"/>
      <c r="C120" s="69"/>
      <c r="D120" s="69"/>
      <c r="E120" s="69"/>
      <c r="F120" s="77" t="s">
        <v>241</v>
      </c>
      <c r="G120" s="79">
        <f>IF(F120=CONCATENATE(G14,":",J14),Y14)+IF(F120=CONCATENATE(G16,":",J16),Y16)+IF(F120=CONCATENATE(G18,":",J18),Y18)+IF(F120=CONCATENATE(G20,":",J20),Y20)+IF(F120=CONCATENATE(G22,":",J22),Y22)+IF(F120=CONCATENATE(G24,":",J24),Y24)+IF(F120=CONCATENATE(G26,":",J26),Y26)+IF(F120=CONCATENATE(G28,":",J28),Y28)+IF(F120=CONCATENATE(P30,":",S30),Y30)+IF(F120=CONCATENATE(P32,":",S32),Y32)+IF(F120=CONCATENATE(P34,":",S34),Y34)+IF(F120=CONCATENATE(P36,":",S36),Y36)</f>
        <v>0</v>
      </c>
      <c r="H120" s="70"/>
    </row>
    <row r="121" spans="2:8" s="64" customFormat="1" ht="15" x14ac:dyDescent="0.3">
      <c r="B121" s="68"/>
      <c r="C121" s="69"/>
      <c r="D121" s="69"/>
      <c r="E121" s="69"/>
      <c r="F121" s="77" t="s">
        <v>317</v>
      </c>
      <c r="G121" s="79">
        <f>IF(F121=CONCATENATE(G14,":",J14),Y14)+IF(F121=CONCATENATE(G16,":",J16),Y16)+IF(F121=CONCATENATE(G18,":",J18),Y18)+IF(F121=CONCATENATE(G20,":",J20),Y20)+IF(F121=CONCATENATE(G22,":",J22),Y22)+IF(F121=CONCATENATE(G24,":",J24),Y24)+IF(F121=CONCATENATE(G26,":",J26),Y26)+IF(F121=CONCATENATE(G28,":",J28),Y28)+IF(F121=CONCATENATE(P30,":",S30),Y30)+IF(F121=CONCATENATE(P32,":",S32),Y32)+IF(F121=CONCATENATE(P34,":",S34),Y34)+IF(F121=CONCATENATE(P36,":",S36),Y36)</f>
        <v>0</v>
      </c>
      <c r="H121" s="70"/>
    </row>
    <row r="122" spans="2:8" s="64" customFormat="1" ht="15" x14ac:dyDescent="0.3">
      <c r="B122" s="68"/>
      <c r="C122" s="69"/>
      <c r="D122" s="69"/>
      <c r="E122" s="69"/>
      <c r="F122" s="77" t="s">
        <v>242</v>
      </c>
      <c r="G122" s="79">
        <f>IF(F122=CONCATENATE(G14,":",J14),Y14)+IF(F122=CONCATENATE(G16,":",J16),Y16)+IF(F122=CONCATENATE(G18,":",J18),Y18)+IF(F122=CONCATENATE(G20,":",J20),Y20)+IF(F122=CONCATENATE(G22,":",J22),Y22)+IF(F122=CONCATENATE(G24,":",J24),Y24)+IF(F122=CONCATENATE(G26,":",J26),Y26)+IF(F122=CONCATENATE(G28,":",J28),Y28)+IF(F122=CONCATENATE(P30,":",S30),Y30)+IF(F122=CONCATENATE(P32,":",S32),Y32)+IF(F122=CONCATENATE(P34,":",S34),Y34)+IF(F122=CONCATENATE(P36,":",S36),Y36)</f>
        <v>0</v>
      </c>
      <c r="H122" s="70"/>
    </row>
    <row r="123" spans="2:8" s="64" customFormat="1" ht="15" x14ac:dyDescent="0.3">
      <c r="B123" s="68"/>
      <c r="C123" s="69"/>
      <c r="D123" s="69"/>
      <c r="E123" s="69"/>
      <c r="F123" s="77" t="s">
        <v>322</v>
      </c>
      <c r="G123" s="79">
        <f>IF(F123=CONCATENATE(G14,":",J14),Y14)+IF(F123=CONCATENATE(G16,":",J16),Y16)+IF(F123=CONCATENATE(G18,":",J18),Y18)+IF(F123=CONCATENATE(G20,":",J20),Y20)+IF(F123=CONCATENATE(G22,":",J22),Y22)+IF(F123=CONCATENATE(G24,":",J24),Y24)+IF(F123=CONCATENATE(G26,":",J26),Y26)+IF(F123=CONCATENATE(G28,":",J28),Y28)+IF(F123=CONCATENATE(P30,":",S30),Y30)+IF(F123=CONCATENATE(P32,":",S32),Y32)+IF(F123=CONCATENATE(P34,":",S34),Y34)+IF(F123=CONCATENATE(P36,":",S36),Y36)</f>
        <v>0</v>
      </c>
      <c r="H123" s="70"/>
    </row>
    <row r="124" spans="2:8" s="64" customFormat="1" ht="15" x14ac:dyDescent="0.3">
      <c r="B124" s="68"/>
      <c r="C124" s="69"/>
      <c r="D124" s="69"/>
      <c r="E124" s="69"/>
      <c r="F124" s="77" t="s">
        <v>311</v>
      </c>
      <c r="G124" s="79">
        <f>IF(F124=CONCATENATE(G14,":",J14),Y14)+IF(F124=CONCATENATE(G16,":",J16),Y16)+IF(F124=CONCATENATE(G18,":",J18),Y18)+IF(F124=CONCATENATE(G20,":",J20),Y20)+IF(F124=CONCATENATE(G22,":",J22),Y22)+IF(F124=CONCATENATE(G24,":",J24),Y24)+IF(F124=CONCATENATE(G26,":",J26),Y26)+IF(F124=CONCATENATE(G28,":",J28),Y28)+IF(F124=CONCATENATE(P30,":",S30),Y30)+IF(F124=CONCATENATE(P32,":",S32),Y32)+IF(F124=CONCATENATE(P34,":",S34),Y34)+IF(F124=CONCATENATE(P36,":",S36),Y36)</f>
        <v>0</v>
      </c>
      <c r="H124" s="70"/>
    </row>
    <row r="125" spans="2:8" s="64" customFormat="1" ht="15" x14ac:dyDescent="0.3">
      <c r="B125" s="68"/>
      <c r="C125" s="69"/>
      <c r="D125" s="69"/>
      <c r="E125" s="69"/>
      <c r="F125" s="77" t="s">
        <v>243</v>
      </c>
      <c r="G125" s="79">
        <f>IF(F125=CONCATENATE(G14,":",J14),Y14)+IF(F125=CONCATENATE(G16,":",J16),Y16)+IF(F125=CONCATENATE(G18,":",J18),Y18)+IF(F125=CONCATENATE(G20,":",J20),Y20)+IF(F125=CONCATENATE(G22,":",J22),Y22)+IF(F125=CONCATENATE(G24,":",J24),Y24)+IF(F125=CONCATENATE(G26,":",J26),Y26)+IF(F125=CONCATENATE(G28,":",J28),Y28)+IF(F125=CONCATENATE(P30,":",S30),Y30)+IF(F125=CONCATENATE(P32,":",S32),Y32)+IF(F125=CONCATENATE(P34,":",S34),Y34)+IF(F125=CONCATENATE(P36,":",S36),Y36)</f>
        <v>0</v>
      </c>
      <c r="H125" s="70"/>
    </row>
    <row r="126" spans="2:8" s="64" customFormat="1" ht="15" x14ac:dyDescent="0.3">
      <c r="B126" s="68"/>
      <c r="C126" s="69"/>
      <c r="D126" s="69"/>
      <c r="E126" s="69"/>
      <c r="F126" s="77" t="s">
        <v>312</v>
      </c>
      <c r="G126" s="79">
        <f>IF(F126=CONCATENATE(G14,":",J14),Y14)+IF(F126=CONCATENATE(G16,":",J16),Y16)+IF(F126=CONCATENATE(G18,":",J18),Y18)+IF(F126=CONCATENATE(G20,":",J20),Y20)+IF(F126=CONCATENATE(G22,":",J22),Y22)+IF(F126=CONCATENATE(G24,":",J24),Y24)+IF(F126=CONCATENATE(G26,":",J26),Y26)+IF(F126=CONCATENATE(G28,":",J28),Y28)+IF(F126=CONCATENATE(P30,":",S30),Y30)+IF(F126=CONCATENATE(P32,":",S32),Y32)+IF(F126=CONCATENATE(P34,":",S34),Y34)+IF(F126=CONCATENATE(P36,":",S36),Y36)</f>
        <v>0</v>
      </c>
      <c r="H126" s="70"/>
    </row>
    <row r="127" spans="2:8" s="64" customFormat="1" ht="15" x14ac:dyDescent="0.3">
      <c r="B127" s="68"/>
      <c r="C127" s="69"/>
      <c r="D127" s="69"/>
      <c r="E127" s="69"/>
      <c r="F127" s="77" t="s">
        <v>313</v>
      </c>
      <c r="G127" s="79">
        <f>IF(F127=CONCATENATE(G14,":",J14),Y14)+IF(F127=CONCATENATE(G16,":",J16),Y16)+IF(F127=CONCATENATE(G18,":",J18),Y18)+IF(F127=CONCATENATE(G20,":",J20),Y20)+IF(F127=CONCATENATE(G22,":",J22),Y22)+IF(F127=CONCATENATE(G24,":",J24),Y24)+IF(F127=CONCATENATE(G26,":",J26),Y26)+IF(F127=CONCATENATE(G28,":",J28),Y28)+IF(F127=CONCATENATE(P30,":",S30),Y30)+IF(F127=CONCATENATE(P32,":",S32),Y32)+IF(F127=CONCATENATE(P34,":",S34),Y34)+IF(F127=CONCATENATE(P36,":",S36),Y36)</f>
        <v>0</v>
      </c>
      <c r="H127" s="70"/>
    </row>
    <row r="128" spans="2:8" s="64" customFormat="1" ht="15" x14ac:dyDescent="0.3">
      <c r="B128" s="68"/>
      <c r="C128" s="69"/>
      <c r="D128" s="69"/>
      <c r="E128" s="69"/>
      <c r="F128" s="77" t="s">
        <v>288</v>
      </c>
      <c r="G128" s="79">
        <f>IF(F128=CONCATENATE(G14,":",J14),Y14)+IF(F128=CONCATENATE(G16,":",J16),Y16)+IF(F128=CONCATENATE(G18,":",J18),Y18)+IF(F128=CONCATENATE(G20,":",J20),Y20)+IF(F128=CONCATENATE(G22,":",J22),Y22)+IF(F128=CONCATENATE(G24,":",J24),Y24)+IF(F128=CONCATENATE(G26,":",J26),Y26)+IF(F128=CONCATENATE(G28,":",J28),Y28)+IF(F128=CONCATENATE(P30,":",S30),Y30)+IF(F128=CONCATENATE(P32,":",S32),Y32)+IF(F128=CONCATENATE(P34,":",S34),Y34)+IF(F128=CONCATENATE(P36,":",S36),Y36)</f>
        <v>0</v>
      </c>
      <c r="H128" s="70"/>
    </row>
    <row r="129" spans="2:8" s="64" customFormat="1" ht="15" x14ac:dyDescent="0.3">
      <c r="B129" s="68"/>
      <c r="C129" s="69"/>
      <c r="D129" s="69"/>
      <c r="E129" s="69"/>
      <c r="F129" s="77" t="s">
        <v>245</v>
      </c>
      <c r="G129" s="79">
        <f>IF(F129=CONCATENATE(G14,":",J14),Y14)+IF(F129=CONCATENATE(G16,":",J16),Y16)+IF(F129=CONCATENATE(G18,":",J18),Y18)+IF(F129=CONCATENATE(G20,":",J20),Y20)+IF(F129=CONCATENATE(G22,":",J22),Y22)+IF(F129=CONCATENATE(G24,":",J24),Y24)+IF(F129=CONCATENATE(G26,":",J26),Y26)+IF(F129=CONCATENATE(G28,":",J28),Y28)+IF(F129=CONCATENATE(P30,":",S30),Y30)+IF(F129=CONCATENATE(P32,":",S32),Y32)+IF(F129=CONCATENATE(P34,":",S34),Y34)+IF(F129=CONCATENATE(P36,":",S36),Y36)</f>
        <v>0</v>
      </c>
      <c r="H129" s="70"/>
    </row>
    <row r="130" spans="2:8" s="64" customFormat="1" ht="15" x14ac:dyDescent="0.3">
      <c r="B130" s="68"/>
      <c r="C130" s="69"/>
      <c r="D130" s="69"/>
      <c r="E130" s="69"/>
      <c r="F130" s="77" t="s">
        <v>246</v>
      </c>
      <c r="G130" s="79">
        <f>IF(F130=CONCATENATE(G14,":",J14),Y14)+IF(F130=CONCATENATE(G16,":",J16),Y16)+IF(F130=CONCATENATE(G18,":",J18),Y18)+IF(F130=CONCATENATE(G20,":",J20),Y20)+IF(F130=CONCATENATE(G22,":",J22),Y22)+IF(F130=CONCATENATE(G24,":",J24),Y24)+IF(F130=CONCATENATE(G26,":",J26),Y26)+IF(F130=CONCATENATE(G28,":",J28),Y28)+IF(F130=CONCATENATE(P30,":",S30),Y30)+IF(F130=CONCATENATE(P32,":",S32),Y32)+IF(F130=CONCATENATE(P34,":",S34),Y34)+IF(F130=CONCATENATE(P36,":",S36),Y36)</f>
        <v>0</v>
      </c>
      <c r="H130" s="70"/>
    </row>
    <row r="131" spans="2:8" s="64" customFormat="1" ht="15" x14ac:dyDescent="0.3">
      <c r="B131" s="68"/>
      <c r="C131" s="69"/>
      <c r="D131" s="69"/>
      <c r="E131" s="69"/>
      <c r="F131" s="77" t="s">
        <v>247</v>
      </c>
      <c r="G131" s="79">
        <f>IF(F131=CONCATENATE(G14,":",J14),Y14)+IF(F131=CONCATENATE(G16,":",J16),Y16)+IF(F131=CONCATENATE(G18,":",J18),Y18)+IF(F131=CONCATENATE(G20,":",J20),Y20)+IF(F131=CONCATENATE(G22,":",J22),Y22)+IF(F131=CONCATENATE(G24,":",J24),Y24)+IF(F131=CONCATENATE(G26,":",J26),Y26)+IF(F131=CONCATENATE(G28,":",J28),Y28)+IF(F131=CONCATENATE(P30,":",S30),Y30)+IF(F131=CONCATENATE(P32,":",S32),Y32)+IF(F131=CONCATENATE(P34,":",S34),Y34)+IF(F131=CONCATENATE(P36,":",S36),Y36)</f>
        <v>0</v>
      </c>
      <c r="H131" s="70"/>
    </row>
    <row r="132" spans="2:8" s="64" customFormat="1" ht="15" x14ac:dyDescent="0.3">
      <c r="B132" s="68"/>
      <c r="C132" s="69"/>
      <c r="D132" s="69"/>
      <c r="E132" s="69"/>
      <c r="F132" s="77" t="s">
        <v>248</v>
      </c>
      <c r="G132" s="79">
        <f>IF(F132=CONCATENATE(G14,":",J14),Y14)+IF(F132=CONCATENATE(G16,":",J16),Y16)+IF(F132=CONCATENATE(G18,":",J18),Y18)+IF(F132=CONCATENATE(G20,":",J20),Y20)+IF(F132=CONCATENATE(G22,":",J22),Y22)+IF(F132=CONCATENATE(G24,":",J24),Y24)+IF(F132=CONCATENATE(G26,":",J26),Y26)+IF(F132=CONCATENATE(G28,":",J28),Y28)+IF(F132=CONCATENATE(P30,":",S30),Y30)+IF(F132=CONCATENATE(P32,":",S32),Y32)+IF(F132=CONCATENATE(P34,":",S34),Y34)+IF(F132=CONCATENATE(P36,":",S36),Y36)</f>
        <v>0</v>
      </c>
      <c r="H132" s="70"/>
    </row>
    <row r="133" spans="2:8" s="64" customFormat="1" ht="15" x14ac:dyDescent="0.3">
      <c r="B133" s="68"/>
      <c r="C133" s="69"/>
      <c r="D133" s="69"/>
      <c r="E133" s="69"/>
      <c r="F133" s="77" t="s">
        <v>249</v>
      </c>
      <c r="G133" s="79">
        <f>IF(F133=CONCATENATE(G14,":",J14),Y14)+IF(F133=CONCATENATE(G16,":",J16),Y16)+IF(F133=CONCATENATE(G18,":",J18),Y18)+IF(F133=CONCATENATE(G20,":",J20),Y20)+IF(F133=CONCATENATE(G22,":",J22),Y22)+IF(F133=CONCATENATE(G24,":",J24),Y24)+IF(F131=CONCATENATE(G26,":",J26),Y26)+IF(F133=CONCATENATE(G28,":",J28),Y28)+IF(F133=CONCATENATE(P30,":",S30),Y30)+IF(F133=CONCATENATE(P32,":",S32),Y32)+IF(F133=CONCATENATE(P34,":",S34),Y34)+IF(F133=CONCATENATE(P36,":",S36),Y36)</f>
        <v>0</v>
      </c>
      <c r="H133" s="70"/>
    </row>
    <row r="134" spans="2:8" s="64" customFormat="1" ht="15" x14ac:dyDescent="0.3">
      <c r="B134" s="68"/>
      <c r="C134" s="69"/>
      <c r="D134" s="69"/>
      <c r="E134" s="69"/>
      <c r="F134" s="77" t="s">
        <v>250</v>
      </c>
      <c r="G134" s="79">
        <f>IF(F134=CONCATENATE(G14,":",J14),Y14)+IF(F134=CONCATENATE(G16,":",J16),Y16)+IF(F134=CONCATENATE(G18,":",J18),Y18)+IF(F134=CONCATENATE(G20,":",J20),Y20)+IF(F134=CONCATENATE(G22,":",J22),Y22)+IF(F134=CONCATENATE(G24,":",J24),Y24)+IF(F132=CONCATENATE(G26,":",J26),Y26)+IF(F134=CONCATENATE(G28,":",J28),Y28)+IF(F134=CONCATENATE(P30,":",S30),Y30)+IF(F134=CONCATENATE(P32,":",S32),Y32)+IF(F134=CONCATENATE(P34,":",S34),Y34)+IF(F134=CONCATENATE(P36,":",S36),Y36)</f>
        <v>0</v>
      </c>
      <c r="H134" s="70"/>
    </row>
    <row r="135" spans="2:8" s="64" customFormat="1" ht="15" x14ac:dyDescent="0.3">
      <c r="B135" s="68"/>
      <c r="C135" s="69"/>
      <c r="D135" s="69"/>
      <c r="E135" s="69"/>
      <c r="F135" s="80" t="s">
        <v>251</v>
      </c>
      <c r="G135" s="79">
        <f>IF(F135=CONCATENATE(G14,":",J14),Y14)+IF(F135=CONCATENATE(G16,":",J16),Y16)+IF(F135=CONCATENATE(G18,":",J18),Y18)+IF(F135=CONCATENATE(G20,":",J20),Y20)+IF(F135=CONCATENATE(G22,":",J22),Y22)+IF(F135=CONCATENATE(G24,":",J24),Y24)+IF(F135=CONCATENATE(G26,":",J26),Y26)+IF(F135=CONCATENATE(G28,":",J28),Y28)+IF(F135=CONCATENATE(P30,":",S30),Y30)+IF(F135=CONCATENATE(P32,":",S32),Y32)+IF(F135=CONCATENATE(P34,":",S34),Y34)+IF(F135=CONCATENATE(P36,":",S36),Y36)</f>
        <v>0</v>
      </c>
      <c r="H135" s="70"/>
    </row>
    <row r="136" spans="2:8" s="64" customFormat="1" ht="15" x14ac:dyDescent="0.3">
      <c r="B136" s="68"/>
      <c r="F136" s="77" t="s">
        <v>314</v>
      </c>
      <c r="G136" s="79">
        <f>IF(F136=CONCATENATE(G14,":",J14),Y14)+IF(F136=CONCATENATE(G16,":",J16),Y16)+IF(F136=CONCATENATE(G18,":",J18),Y18)+IF(F136=CONCATENATE(G20,":",J20),Y20)+IF(F136=CONCATENATE(G22,":",J22),Y22)+IF(F136=CONCATENATE(G24,":",J24),Y24)+IF(F136=CONCATENATE(G26,":",J26),Y26)+IF(F136=CONCATENATE(G28,":",J28),Y28)+IF(F136=CONCATENATE(P30,":",S30),Y30)+IF(F136=CONCATENATE(P32,":",S32),Y32)+IF(F136=CONCATENATE(P34,":",S34),Y34)+IF(F136=CONCATENATE(P36,":",S36),Y36)</f>
        <v>0</v>
      </c>
      <c r="H136" s="70"/>
    </row>
    <row r="137" spans="2:8" s="64" customFormat="1" ht="15" x14ac:dyDescent="0.3">
      <c r="B137" s="68"/>
      <c r="F137" s="77" t="s">
        <v>252</v>
      </c>
      <c r="G137" s="79">
        <f>IF(F137=CONCATENATE(G14,":",J14),Y14)+IF(F137=CONCATENATE(G16,":",J16),Y16)+IF(F137=CONCATENATE(G18,":",J18),Y18)+IF(F137=CONCATENATE(G20,":",J20),Y20)+IF(F137=CONCATENATE(G22,":",J22),Y22)+IF(F137=CONCATENATE(G24,":",J24),Y24)+IF(F137=CONCATENATE(G26,":",J26),Y26)+IF(F137=CONCATENATE(G28,":",J28),Y28)+IF(F137=CONCATENATE(P30,":",S30),Y30)+IF(F137=CONCATENATE(P32,":",S32),Y32)+IF(F137=CONCATENATE(P34,":",S34),Y34)+IF(F137=CONCATENATE(P36,":",S36),Y36)</f>
        <v>0</v>
      </c>
      <c r="H137" s="70"/>
    </row>
    <row r="138" spans="2:8" s="64" customFormat="1" ht="15" x14ac:dyDescent="0.3">
      <c r="B138" s="68"/>
      <c r="F138" s="77" t="s">
        <v>294</v>
      </c>
      <c r="G138" s="79">
        <f>IF(F138=CONCATENATE(G14,":",J14),Y14)+IF(F138=CONCATENATE(G16,":",J16),Y16)+IF(F138=CONCATENATE(G18,":",J18),Y18)+IF(F138=CONCATENATE(G20,":",J20),Y20)+IF(F138=CONCATENATE(G22,":",J22),Y22)+IF(F138=CONCATENATE(G24,":",J24),Y24)+IF(F138=CONCATENATE(G26,":",J26),Y26)+IF(F138=CONCATENATE(G28,":",J28),Y28)+IF(F138=CONCATENATE(P30,":",S30),Y30)+IF(F138=CONCATENATE(P32,":",S32),Y32)+IF(F138=CONCATENATE(P34,":",S34),Y34)+IF(F138=CONCATENATE(P36,":",S36),Y36)</f>
        <v>7</v>
      </c>
      <c r="H138" s="70"/>
    </row>
    <row r="139" spans="2:8" s="64" customFormat="1" ht="15" x14ac:dyDescent="0.3">
      <c r="B139" s="68"/>
      <c r="F139" s="77" t="s">
        <v>315</v>
      </c>
      <c r="G139" s="79">
        <f>IF(F139=CONCATENATE(G14,":",J14),Y14)+IF(F139=CONCATENATE(G16,":",J16),Y16)+IF(F139=CONCATENATE(G18,":",J18),Y18)+IF(F139=CONCATENATE(G20,":",J20),Y20)+IF(F139=CONCATENATE(G22,":",J22),Y22)+IF(F139=CONCATENATE(G24,":",J24),Y24)+IF(F139=CONCATENATE(G26,":",J26),Y26)+IF(F139=CONCATENATE(G28,":",J28),Y28)+IF(F139=CONCATENATE(P30,":",S30),Y30)+IF(F139=CONCATENATE(P32,":",S32),Y32)+IF(F139=CONCATENATE(P34,":",S34),Y34)+IF(F139=CONCATENATE(P36,":",S36),Y36)</f>
        <v>0</v>
      </c>
      <c r="H139" s="70"/>
    </row>
    <row r="140" spans="2:8" s="64" customFormat="1" ht="15" x14ac:dyDescent="0.3">
      <c r="B140" s="68"/>
      <c r="F140" s="77" t="s">
        <v>319</v>
      </c>
      <c r="G140" s="79">
        <f>IF(F140=CONCATENATE(G14,":",J14),Y14)+IF(F140=CONCATENATE(G16,":",J16),Y16)+IF(F140=CONCATENATE(G18,":",J18),Y18)+IF(F140=CONCATENATE(G20,":",J20),Y20)+IF(F140=CONCATENATE(G22,":",J22),Y22)+IF(F140=CONCATENATE(G24,":",J24),Y24)+IF(F140=CONCATENATE(G26,":",J26),Y26)+IF(F140=CONCATENATE(G28,":",J28),Y28)+IF(F140=CONCATENATE(P30,":",S30),Y30)+IF(F140=CONCATENATE(P32,":",S32),Y32)+IF(F140=CONCATENATE(P34,":",S34),Y34)+IF(F140=CONCATENATE(P36,":",S36),Y36)</f>
        <v>0</v>
      </c>
      <c r="H140" s="70"/>
    </row>
    <row r="141" spans="2:8" s="64" customFormat="1" ht="15" x14ac:dyDescent="0.3">
      <c r="B141" s="68"/>
      <c r="F141" s="77" t="s">
        <v>282</v>
      </c>
      <c r="G141" s="79">
        <f>IF(F141=CONCATENATE(G14,":",J14),Y14)+IF(F141=CONCATENATE(G16,":",J16),Y16)+IF(F141=CONCATENATE(G18,":",J18),Y18)+IF(F141=CONCATENATE(G20,":",J20),Y20)+IF(F141=CONCATENATE(G22,":",J22),Y22)+IF(F141=CONCATENATE(G24,":",J24),Y24)+IF(F141=CONCATENATE(G26,":",J26),Y26)+IF(F141=CONCATENATE(G28,":",J28),Y28)+IF(F141=CONCATENATE(P30,":",S30),Y30)+IF(F141=CONCATENATE(P32,":",S32),Y32)+IF(F141=CONCATENATE(P34,":",S34),Y34)+IF(F141=CONCATENATE(P36,":",S36),Y36)</f>
        <v>0</v>
      </c>
      <c r="H141" s="70"/>
    </row>
    <row r="142" spans="2:8" s="64" customFormat="1" ht="15" x14ac:dyDescent="0.3">
      <c r="B142" s="71"/>
      <c r="C142" s="72"/>
      <c r="D142" s="72"/>
      <c r="E142" s="72"/>
      <c r="F142" s="81" t="s">
        <v>283</v>
      </c>
      <c r="G142" s="76">
        <f>IF(F142=CONCATENATE(G14,":",J14),Y14)+IF(F142=CONCATENATE(G16,":",J16),Y16)+IF(F142=CONCATENATE(G18,":",J18),Y18)+IF(F142=CONCATENATE(G20,":",J20),Y20)+IF(F142=CONCATENATE(G22,":",J22),Y22)+IF(F142=CONCATENATE(G24,":",J24),Y24)+IF(F142=CONCATENATE(G26,":",J26),Y26)+IF(F142=CONCATENATE(G28,":",J28),Y28)+IF(F142=CONCATENATE(P30,":",S30),Y30)+IF(F142=CONCATENATE(P32,":",S32),Y32)+IF(F142=CONCATENATE(P34,":",S34),Y34)+IF(F142=CONCATENATE(P36,":",S36),Y36)</f>
        <v>0</v>
      </c>
      <c r="H142" s="73"/>
    </row>
    <row r="143" spans="2:8" s="64" customFormat="1" x14ac:dyDescent="0.3"/>
  </sheetData>
  <mergeCells count="1">
    <mergeCell ref="D4:G4"/>
  </mergeCells>
  <dataValidations count="9">
    <dataValidation type="list" showInputMessage="1" showErrorMessage="1" error="please select from list values" prompt="select product when applicable" sqref="M14 M16 M18 M26 M32 M34 M36 M20 M22 M24 M30 M28">
      <formula1>IF(D14="Customer",Primary,INDIRECT("formdata!A2"))</formula1>
    </dataValidation>
    <dataValidation type="list" showInputMessage="1" showErrorMessage="1" error="please select from list values" prompt="select interaction when applicable" sqref="P14 P34 P32 P26 P18 P16 P36 P20 P22 P24 P30 P28">
      <formula1>IF(D14="Customer",Interaction,INDIRECT("formdata!A2"))</formula1>
    </dataValidation>
    <dataValidation type="list" showInputMessage="1" showErrorMessage="1" error="please select from list values" prompt="select sub-type when applicable" sqref="S14 S34 S32 S18 S26 S16 S36 S20 S22 S24 S30 S28">
      <formula1>IF(D14="Customer",INDIRECT(P14),INDIRECT(G14))</formula1>
    </dataValidation>
    <dataValidation type="list" allowBlank="1" showInputMessage="1" showErrorMessage="1" prompt="select CSA" sqref="D4">
      <formula1>Names</formula1>
    </dataValidation>
    <dataValidation type="date" operator="greaterThan" allowBlank="1" showInputMessage="1" showErrorMessage="1" prompt="enter date" sqref="D6">
      <formula1>42005</formula1>
    </dataValidation>
    <dataValidation type="list" allowBlank="1" showInputMessage="1" showErrorMessage="1" sqref="D5">
      <formula1>Names</formula1>
    </dataValidation>
    <dataValidation type="list" showInputMessage="1" showErrorMessage="1" error="please select from list values" prompt="please select category" sqref="G26 G16 G18 G32 G14 G34 G36 G20 G22 G24 G30 G28">
      <formula1>INDIRECT(D14)</formula1>
    </dataValidation>
    <dataValidation type="list" showInputMessage="1" showErrorMessage="1" sqref="D16 D32 D18 D26 D14 D34 D36 D20 D22 D24 D30 D28">
      <formula1>Utilizations</formula1>
    </dataValidation>
    <dataValidation type="list" showInputMessage="1" showErrorMessage="1" errorTitle="&lt;&lt;SELECTION ERROR&gt;&gt;" error="please select from list values" prompt="select customer when applicable" sqref="J22 J16 J18 J20 J24 J26 J28 J30 J32 J34 J36 J14">
      <formula1>IF(D14="Customer",INDIRECT(G14),IF(D14="Travel",ALL_Customers,INDIRECT("formdata!A2")))</formula1>
    </dataValidation>
  </dataValidations>
  <pageMargins left="0.7" right="0.7" top="0.75" bottom="0.75" header="0.3" footer="0.3"/>
  <pageSetup orientation="portrait" horizontalDpi="4294967293" verticalDpi="4294967293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43"/>
  <sheetViews>
    <sheetView zoomScaleNormal="100" workbookViewId="0">
      <selection activeCell="V18" sqref="V18"/>
    </sheetView>
  </sheetViews>
  <sheetFormatPr defaultRowHeight="14.4" x14ac:dyDescent="0.3"/>
  <cols>
    <col min="1" max="1" width="1.77734375" style="3" customWidth="1"/>
    <col min="2" max="2" width="14.77734375" style="3" customWidth="1"/>
    <col min="3" max="3" width="1.77734375" style="3" customWidth="1"/>
    <col min="4" max="4" width="14.77734375" style="3" customWidth="1"/>
    <col min="5" max="5" width="1.77734375" style="3" customWidth="1"/>
    <col min="6" max="6" width="2.77734375" style="3" customWidth="1"/>
    <col min="7" max="7" width="14.77734375" style="3" customWidth="1"/>
    <col min="8" max="8" width="1.77734375" style="3" customWidth="1"/>
    <col min="9" max="9" width="2.77734375" style="3" customWidth="1"/>
    <col min="10" max="10" width="20.77734375" style="3" customWidth="1"/>
    <col min="11" max="11" width="1.77734375" style="3" customWidth="1"/>
    <col min="12" max="12" width="2.77734375" style="3" customWidth="1"/>
    <col min="13" max="13" width="8.77734375" style="3" customWidth="1"/>
    <col min="14" max="14" width="1.77734375" style="3" customWidth="1"/>
    <col min="15" max="15" width="2.77734375" style="3" customWidth="1"/>
    <col min="16" max="16" width="14.77734375" style="3" customWidth="1"/>
    <col min="17" max="17" width="1.77734375" style="3" customWidth="1"/>
    <col min="18" max="18" width="2.77734375" style="3" customWidth="1"/>
    <col min="19" max="19" width="20.77734375" style="3" customWidth="1"/>
    <col min="20" max="20" width="1.77734375" style="3" customWidth="1"/>
    <col min="21" max="21" width="2.77734375" style="3" customWidth="1"/>
    <col min="22" max="22" width="46.77734375" style="3" customWidth="1"/>
    <col min="23" max="23" width="1.77734375" style="3" customWidth="1"/>
    <col min="24" max="24" width="2.77734375" style="3" customWidth="1"/>
    <col min="25" max="25" width="10.77734375" style="3" customWidth="1"/>
    <col min="26" max="26" width="2.77734375" style="3" customWidth="1"/>
    <col min="27" max="16384" width="8.88671875" style="3"/>
  </cols>
  <sheetData>
    <row r="1" spans="2:25" ht="7.95" customHeight="1" x14ac:dyDescent="0.3"/>
    <row r="2" spans="2:25" s="5" customFormat="1" ht="22.05" customHeight="1" x14ac:dyDescent="0.4">
      <c r="B2" s="15" t="s">
        <v>201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2:25" ht="12" customHeight="1" x14ac:dyDescent="0.3"/>
    <row r="4" spans="2:25" s="5" customFormat="1" ht="18" customHeight="1" x14ac:dyDescent="0.35">
      <c r="B4" s="6" t="s">
        <v>0</v>
      </c>
      <c r="D4" s="82" t="s">
        <v>1</v>
      </c>
      <c r="E4" s="83"/>
      <c r="F4" s="83"/>
      <c r="G4" s="84"/>
    </row>
    <row r="5" spans="2:25" s="5" customFormat="1" ht="12" customHeight="1" x14ac:dyDescent="0.3">
      <c r="B5" s="6"/>
    </row>
    <row r="6" spans="2:25" ht="18" customHeight="1" x14ac:dyDescent="0.35">
      <c r="B6" s="6" t="s">
        <v>3</v>
      </c>
      <c r="D6" s="20">
        <f>MONDAY!D6+2</f>
        <v>42305</v>
      </c>
      <c r="G6" s="13" t="str">
        <f>UPPER(TEXT(D6,"DDDD"))</f>
        <v>WEDNESDAY</v>
      </c>
    </row>
    <row r="7" spans="2:25" ht="12" customHeight="1" x14ac:dyDescent="0.3"/>
    <row r="8" spans="2:25" s="5" customFormat="1" ht="18" customHeight="1" x14ac:dyDescent="0.3">
      <c r="B8" s="6" t="s">
        <v>27</v>
      </c>
      <c r="D8" s="16">
        <f>SUM(Y14:Y34)</f>
        <v>8.5</v>
      </c>
      <c r="P8" s="6"/>
      <c r="V8" s="6"/>
      <c r="Y8" s="7"/>
    </row>
    <row r="9" spans="2:25" s="5" customFormat="1" ht="12" customHeight="1" x14ac:dyDescent="0.3">
      <c r="B9" s="6"/>
      <c r="P9" s="6"/>
      <c r="V9" s="6"/>
      <c r="Y9" s="7"/>
    </row>
    <row r="10" spans="2:25" ht="42" customHeight="1" x14ac:dyDescent="0.3"/>
    <row r="11" spans="2:25" ht="4.9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</row>
    <row r="12" spans="2:25" s="11" customFormat="1" ht="15.6" x14ac:dyDescent="0.3">
      <c r="B12" s="9" t="s">
        <v>4</v>
      </c>
      <c r="C12" s="9"/>
      <c r="D12" s="9" t="s">
        <v>5</v>
      </c>
      <c r="E12" s="9"/>
      <c r="F12" s="9"/>
      <c r="G12" s="10" t="s">
        <v>10</v>
      </c>
      <c r="H12" s="9"/>
      <c r="I12" s="9"/>
      <c r="J12" s="9" t="s">
        <v>11</v>
      </c>
      <c r="K12" s="9"/>
      <c r="L12" s="9"/>
      <c r="M12" s="9" t="s">
        <v>23</v>
      </c>
      <c r="N12" s="9"/>
      <c r="P12" s="10" t="s">
        <v>28</v>
      </c>
      <c r="Q12" s="9"/>
      <c r="R12" s="9"/>
      <c r="S12" s="9" t="s">
        <v>29</v>
      </c>
      <c r="T12" s="9"/>
      <c r="V12" s="10" t="s">
        <v>92</v>
      </c>
      <c r="W12" s="9"/>
      <c r="Y12" s="9" t="s">
        <v>12</v>
      </c>
    </row>
    <row r="13" spans="2:25" ht="4.9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2:25" s="14" customFormat="1" x14ac:dyDescent="0.3">
      <c r="B14" s="26">
        <v>1</v>
      </c>
      <c r="D14" s="26" t="s">
        <v>6</v>
      </c>
      <c r="E14" s="26"/>
      <c r="F14" s="26"/>
      <c r="G14" s="26" t="s">
        <v>17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80</v>
      </c>
      <c r="T14" s="26"/>
      <c r="U14" s="26"/>
      <c r="V14" s="58"/>
      <c r="W14" s="26"/>
      <c r="X14" s="26"/>
      <c r="Y14" s="29">
        <v>1</v>
      </c>
    </row>
    <row r="15" spans="2:25" ht="4.95" customHeight="1" x14ac:dyDescent="0.3">
      <c r="B15" s="27"/>
      <c r="C15" s="12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60"/>
      <c r="W15" s="27"/>
      <c r="X15" s="27"/>
      <c r="Y15" s="30"/>
    </row>
    <row r="16" spans="2:25" s="14" customFormat="1" x14ac:dyDescent="0.3">
      <c r="B16" s="26">
        <v>2</v>
      </c>
      <c r="D16" s="26" t="s">
        <v>6</v>
      </c>
      <c r="E16" s="26"/>
      <c r="F16" s="26"/>
      <c r="G16" s="26" t="s">
        <v>19</v>
      </c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 t="s">
        <v>108</v>
      </c>
      <c r="T16" s="26"/>
      <c r="U16" s="26"/>
      <c r="V16" s="58" t="s">
        <v>330</v>
      </c>
      <c r="W16" s="26"/>
      <c r="X16" s="26"/>
      <c r="Y16" s="29">
        <v>1</v>
      </c>
    </row>
    <row r="17" spans="2:25" ht="4.95" customHeight="1" x14ac:dyDescent="0.3">
      <c r="B17" s="27"/>
      <c r="C17" s="12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60"/>
      <c r="W17" s="27"/>
      <c r="X17" s="27"/>
      <c r="Y17" s="30"/>
    </row>
    <row r="18" spans="2:25" s="14" customFormat="1" x14ac:dyDescent="0.3">
      <c r="B18" s="26">
        <v>3</v>
      </c>
      <c r="D18" s="26" t="s">
        <v>7</v>
      </c>
      <c r="E18" s="26"/>
      <c r="F18" s="26"/>
      <c r="G18" s="26" t="s">
        <v>35</v>
      </c>
      <c r="H18" s="26"/>
      <c r="I18" s="26"/>
      <c r="J18" s="26" t="s">
        <v>293</v>
      </c>
      <c r="K18" s="26"/>
      <c r="L18" s="26"/>
      <c r="M18" s="26" t="s">
        <v>202</v>
      </c>
      <c r="N18" s="26"/>
      <c r="O18" s="26"/>
      <c r="P18" s="26" t="s">
        <v>24</v>
      </c>
      <c r="Q18" s="26"/>
      <c r="R18" s="26"/>
      <c r="S18" s="26" t="s">
        <v>196</v>
      </c>
      <c r="T18" s="26"/>
      <c r="U18" s="26"/>
      <c r="V18" s="58" t="s">
        <v>328</v>
      </c>
      <c r="W18" s="26"/>
      <c r="X18" s="26"/>
      <c r="Y18" s="29">
        <v>2.5</v>
      </c>
    </row>
    <row r="19" spans="2:25" ht="4.95" customHeight="1" x14ac:dyDescent="0.3">
      <c r="B19" s="27"/>
      <c r="C19" s="12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60"/>
      <c r="W19" s="27"/>
      <c r="X19" s="27"/>
      <c r="Y19" s="30"/>
    </row>
    <row r="20" spans="2:25" s="14" customFormat="1" x14ac:dyDescent="0.3">
      <c r="B20" s="26">
        <v>4</v>
      </c>
      <c r="D20" s="26" t="s">
        <v>6</v>
      </c>
      <c r="E20" s="26"/>
      <c r="F20" s="26"/>
      <c r="G20" s="26" t="s">
        <v>19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105</v>
      </c>
      <c r="T20" s="26"/>
      <c r="U20" s="26"/>
      <c r="V20" s="58" t="s">
        <v>331</v>
      </c>
      <c r="W20" s="26"/>
      <c r="X20" s="26"/>
      <c r="Y20" s="29">
        <v>0.5</v>
      </c>
    </row>
    <row r="21" spans="2:25" ht="4.95" customHeight="1" x14ac:dyDescent="0.3">
      <c r="B21" s="27"/>
      <c r="C21" s="12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60"/>
      <c r="W21" s="27"/>
      <c r="X21" s="27"/>
      <c r="Y21" s="30"/>
    </row>
    <row r="22" spans="2:25" s="14" customFormat="1" x14ac:dyDescent="0.3">
      <c r="B22" s="26">
        <v>5</v>
      </c>
      <c r="D22" s="26" t="s">
        <v>7</v>
      </c>
      <c r="E22" s="26"/>
      <c r="F22" s="26"/>
      <c r="G22" s="26" t="s">
        <v>35</v>
      </c>
      <c r="H22" s="26"/>
      <c r="I22" s="26"/>
      <c r="J22" s="26" t="s">
        <v>293</v>
      </c>
      <c r="K22" s="26"/>
      <c r="L22" s="26"/>
      <c r="M22" s="26" t="s">
        <v>202</v>
      </c>
      <c r="N22" s="26"/>
      <c r="O22" s="26"/>
      <c r="P22" s="26" t="s">
        <v>23</v>
      </c>
      <c r="Q22" s="26"/>
      <c r="R22" s="26"/>
      <c r="S22" s="26" t="s">
        <v>199</v>
      </c>
      <c r="T22" s="26"/>
      <c r="U22" s="26"/>
      <c r="V22" s="58" t="s">
        <v>332</v>
      </c>
      <c r="W22" s="26"/>
      <c r="X22" s="26"/>
      <c r="Y22" s="29">
        <v>1</v>
      </c>
    </row>
    <row r="23" spans="2:25" ht="4.95" customHeight="1" x14ac:dyDescent="0.3">
      <c r="B23" s="27"/>
      <c r="C23" s="12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60"/>
      <c r="W23" s="27"/>
      <c r="X23" s="27"/>
      <c r="Y23" s="30"/>
    </row>
    <row r="24" spans="2:25" s="14" customFormat="1" x14ac:dyDescent="0.3">
      <c r="B24" s="26">
        <v>6</v>
      </c>
      <c r="D24" s="26" t="s">
        <v>7</v>
      </c>
      <c r="E24" s="26"/>
      <c r="F24" s="26"/>
      <c r="G24" s="26" t="s">
        <v>35</v>
      </c>
      <c r="H24" s="26"/>
      <c r="I24" s="26"/>
      <c r="J24" s="26" t="s">
        <v>293</v>
      </c>
      <c r="K24" s="26"/>
      <c r="L24" s="26"/>
      <c r="M24" s="26" t="s">
        <v>202</v>
      </c>
      <c r="N24" s="26"/>
      <c r="O24" s="26"/>
      <c r="P24" s="26" t="s">
        <v>23</v>
      </c>
      <c r="Q24" s="26"/>
      <c r="R24" s="26"/>
      <c r="S24" s="26" t="s">
        <v>181</v>
      </c>
      <c r="T24" s="26"/>
      <c r="U24" s="26"/>
      <c r="V24" s="58" t="s">
        <v>333</v>
      </c>
      <c r="W24" s="26"/>
      <c r="X24" s="26"/>
      <c r="Y24" s="29">
        <v>2.5</v>
      </c>
    </row>
    <row r="25" spans="2:25" ht="4.95" customHeight="1" x14ac:dyDescent="0.3">
      <c r="B25" s="27"/>
      <c r="C25" s="12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60"/>
      <c r="W25" s="27"/>
      <c r="X25" s="27"/>
      <c r="Y25" s="30"/>
    </row>
    <row r="26" spans="2:25" s="14" customFormat="1" x14ac:dyDescent="0.3">
      <c r="B26" s="26">
        <v>7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58"/>
      <c r="W26" s="26"/>
      <c r="X26" s="26"/>
      <c r="Y26" s="29">
        <v>0</v>
      </c>
    </row>
    <row r="27" spans="2:25" ht="4.95" customHeight="1" x14ac:dyDescent="0.3">
      <c r="B27" s="27"/>
      <c r="C27" s="12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60"/>
      <c r="W27" s="27"/>
      <c r="X27" s="27"/>
      <c r="Y27" s="30"/>
    </row>
    <row r="28" spans="2:25" s="14" customFormat="1" x14ac:dyDescent="0.3">
      <c r="B28" s="26">
        <v>8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58"/>
      <c r="W28" s="26"/>
      <c r="X28" s="26"/>
      <c r="Y28" s="29">
        <v>0</v>
      </c>
    </row>
    <row r="29" spans="2:25" ht="4.95" customHeight="1" x14ac:dyDescent="0.3">
      <c r="B29" s="27"/>
      <c r="C29" s="12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60"/>
      <c r="W29" s="27"/>
      <c r="X29" s="27"/>
      <c r="Y29" s="30"/>
    </row>
    <row r="30" spans="2:25" s="14" customFormat="1" x14ac:dyDescent="0.3">
      <c r="B30" s="26">
        <v>9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58"/>
      <c r="W30" s="26"/>
      <c r="X30" s="26"/>
      <c r="Y30" s="29">
        <v>0</v>
      </c>
    </row>
    <row r="31" spans="2:25" ht="4.95" customHeight="1" x14ac:dyDescent="0.3">
      <c r="B31" s="27"/>
      <c r="C31" s="12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60"/>
      <c r="W31" s="27"/>
      <c r="X31" s="27"/>
      <c r="Y31" s="30"/>
    </row>
    <row r="32" spans="2:25" s="14" customFormat="1" x14ac:dyDescent="0.3">
      <c r="B32" s="26">
        <v>10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58"/>
      <c r="W32" s="26"/>
      <c r="X32" s="26"/>
      <c r="Y32" s="29">
        <v>0</v>
      </c>
    </row>
    <row r="33" spans="2:25" ht="4.95" customHeight="1" x14ac:dyDescent="0.3">
      <c r="B33" s="27"/>
      <c r="C33" s="12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60"/>
      <c r="W33" s="27"/>
      <c r="X33" s="27"/>
      <c r="Y33" s="30"/>
    </row>
    <row r="34" spans="2:25" s="14" customFormat="1" x14ac:dyDescent="0.3">
      <c r="B34" s="26">
        <v>11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58"/>
      <c r="W34" s="26"/>
      <c r="X34" s="26"/>
      <c r="Y34" s="29">
        <v>0</v>
      </c>
    </row>
    <row r="35" spans="2:25" ht="4.95" customHeight="1" x14ac:dyDescent="0.3">
      <c r="B35" s="27"/>
      <c r="C35" s="12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60"/>
      <c r="W35" s="27"/>
      <c r="X35" s="27"/>
      <c r="Y35" s="30"/>
    </row>
    <row r="36" spans="2:25" s="14" customFormat="1" x14ac:dyDescent="0.3">
      <c r="B36" s="26">
        <v>12</v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58"/>
      <c r="W36" s="26"/>
      <c r="X36" s="26"/>
      <c r="Y36" s="29">
        <v>0</v>
      </c>
    </row>
    <row r="37" spans="2:25" ht="4.95" customHeight="1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2:25" ht="4.95" customHeight="1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</row>
    <row r="39" spans="2:25" ht="37.950000000000003" customHeight="1" x14ac:dyDescent="0.3"/>
    <row r="45" spans="2:25" x14ac:dyDescent="0.3">
      <c r="B45" s="19" t="s">
        <v>210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ht="4.95" customHeight="1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2:25" ht="15" x14ac:dyDescent="0.3">
      <c r="B47" s="31"/>
      <c r="C47" s="43" t="s">
        <v>204</v>
      </c>
      <c r="D47" s="74">
        <f>IF(M14=C47,Y14) + IF(M16=C47,Y16) + IF(M18=C47,Y18) + IF(M20=C47,Y20) + IF(M22=C47,Y22) + IF(M24=C47,Y24) + IF(M26=C47,Y26) + IF(M28=C47,Y28) + IF(M30=C47,Y30) + IF(M32=C47,Y32) + IF(M34=C47,Y34) + IF(M36=C47,Y36)</f>
        <v>0</v>
      </c>
      <c r="E47" s="33"/>
      <c r="I47" s="18"/>
    </row>
    <row r="48" spans="2:25" ht="15" x14ac:dyDescent="0.3">
      <c r="B48" s="34"/>
      <c r="C48" s="44" t="s">
        <v>202</v>
      </c>
      <c r="D48" s="75">
        <f>IF(M14=C48,Y14) + IF(M16=C48,Y16) + IF(M18=C48,Y18) + IF(M20=C48,Y20) + IF(M22=C48,Y22) + IF(M24=C48,Y24) + IF(M26=C48,Y26) + IF(M28=C48,Y28) + IF(M30=C48,Y30) + IF(M32=C48,Y32) + IF(M34=C48,Y34) + IF(M36=C48,Y36)</f>
        <v>6</v>
      </c>
      <c r="E48" s="36"/>
      <c r="I48" s="18"/>
    </row>
    <row r="49" spans="2:9" ht="15" x14ac:dyDescent="0.3">
      <c r="B49" s="34"/>
      <c r="C49" s="44" t="s">
        <v>203</v>
      </c>
      <c r="D49" s="75">
        <f>IF(M14=C49,Y14) + IF(M16=C49,Y16) + IF(M18=C49,Y18) + IF(M20=C49,Y20) + IF(M22=C49,Y22) + IF(M24=C49,Y24) + IF(M26=C49,Y26) + IF(M28=C49,Y28) + IF(M30=C49,Y30) + IF(M32=C49,Y32) + IF(M34=C49,Y34) + IF(M36=C49,Y36)</f>
        <v>0</v>
      </c>
      <c r="E49" s="36"/>
      <c r="I49" s="18"/>
    </row>
    <row r="50" spans="2:9" ht="15" x14ac:dyDescent="0.3">
      <c r="B50" s="34"/>
      <c r="C50" s="44" t="s">
        <v>162</v>
      </c>
      <c r="D50" s="75">
        <f>IF(M14=C50,Y14) + IF(M16=C50,Y16) + IF(M18=C50,Y18) + IF(M20=C50,Y20) + IF(M22=C50,Y22) + IF(M24=C50,Y24) + IF(M26=C50,Y26) + IF(M28=C50,Y28) + IF(M30=C50,Y30) + IF(M32=C50,Y32) + IF(M34=C50,Y34) + IF(M36=C50,Y36)</f>
        <v>0</v>
      </c>
      <c r="E50" s="36"/>
      <c r="I50" s="18"/>
    </row>
    <row r="51" spans="2:9" ht="15" x14ac:dyDescent="0.3">
      <c r="B51" s="34"/>
      <c r="C51" s="44" t="s">
        <v>209</v>
      </c>
      <c r="D51" s="75">
        <f>IF(M14=C51,Y14) + IF(M16=C51,Y16) + IF(M18=C51,Y18) + IF(M20=C51,Y20) + IF(M22=C51,Y22) + IF(M24=C51,Y24) + IF(M26=C51,Y26) + IF(M28=C51,Y28) + IF(M30=C51,Y30) + IF(M32=C51,Y32) + IF(M34=C51,Y34) + IF(M36=C51,Y36)</f>
        <v>0</v>
      </c>
      <c r="E51" s="36"/>
    </row>
    <row r="52" spans="2:9" ht="15" x14ac:dyDescent="0.3">
      <c r="B52" s="34"/>
      <c r="C52" s="44" t="s">
        <v>127</v>
      </c>
      <c r="D52" s="75">
        <f>IF(M14=C52,Y14) + IF(M16=C52,Y16) + IF(M18=C52,Y18) + IF(M20=C52,Y20) + IF(M22=C52,Y22) + IF(M24=C52,Y24) + IF(M26=C52,Y26) + IF(M28=C52,Y28) + IF(M30=C52,Y30) + IF(M32=C52,Y32) + IF(M34=C52,Y34) + IF(M36=C52,Y36)</f>
        <v>0</v>
      </c>
      <c r="E52" s="36"/>
    </row>
    <row r="53" spans="2:9" ht="15" x14ac:dyDescent="0.3">
      <c r="B53" s="34"/>
      <c r="C53" s="44" t="s">
        <v>206</v>
      </c>
      <c r="D53" s="75">
        <f>IF(M14=C53,Y14) + IF(M16=C53,Y16) + IF(M18=C53,Y18) + IF(M20=C53,Y20) + IF(M22=C53,Y22) + IF(M24=C53,Y24) + IF(M26=C53,Y26) + IF(M28=C53,Y28) + IF(M30=C53,Y30) + IF(M32=C53,Y32) + IF(M34=C53,Y34) + IF(M36=C53,Y36)</f>
        <v>0</v>
      </c>
      <c r="E53" s="36"/>
    </row>
    <row r="54" spans="2:9" ht="15" x14ac:dyDescent="0.3">
      <c r="B54" s="37"/>
      <c r="C54" s="45" t="s">
        <v>207</v>
      </c>
      <c r="D54" s="76">
        <f>IF(M14=C54,Y14) + IF(M16=C54,Y16) + IF(M18=C54,Y18) + IF(M20=C54,Y20) + IF(M22=C54,Y22) + IF(M24=C54,Y24) + IF(M26=C54,Y26) + IF(M28=C54,Y28) + IF(M30=C54,Y30) + IF(M32=C54,Y32) + IF(M34=C54,Y34) + IF(M36=C54,Y36)</f>
        <v>0</v>
      </c>
      <c r="E54" s="39"/>
    </row>
    <row r="57" spans="2:9" ht="15" x14ac:dyDescent="0.3">
      <c r="B57" s="31"/>
      <c r="C57" s="43" t="s">
        <v>7</v>
      </c>
      <c r="D57" s="74">
        <f>IF(D14=C57,Y14) + IF(D16=C57,Y16) + IF(D18=C57,Y18) + IF(D20=C57,Y20) + IF(D22=C57,Y22) + IF(D24=C57,Y24) + IF(D26=C57,Y26) + IF(D28=C57,Y28) + IF(D30=C57,Y30) + IF(D32=C57,Y32) + IF(D34=C57,Y34) + IF(D36=C57,Y36)</f>
        <v>6</v>
      </c>
      <c r="E57" s="33"/>
    </row>
    <row r="58" spans="2:9" ht="15" x14ac:dyDescent="0.3">
      <c r="B58" s="34"/>
      <c r="C58" s="44" t="s">
        <v>6</v>
      </c>
      <c r="D58" s="75">
        <f>IF(D14=C58,Y14) + IF(D16=C58,Y16) + IF(D18=C58,Y18) + IF(D20=C58,Y20) + IF(D22=C58,Y22) + IF(D24=C58,Y24) + IF(D26=C58,Y26) + IF(D28=C58,Y28) + IF(D30=C58,Y30) + IF(D32=C58,Y32) + IF(D34=C58,Y34) + IF(D36=C58,Y36)</f>
        <v>2.5</v>
      </c>
      <c r="E58" s="36"/>
    </row>
    <row r="59" spans="2:9" ht="15" x14ac:dyDescent="0.3">
      <c r="B59" s="34"/>
      <c r="C59" s="44" t="s">
        <v>9</v>
      </c>
      <c r="D59" s="75">
        <f>IF(D14=C59,Y14) + IF(D16=C59,Y16) + IF(D18=C59,Y18) + IF(D20=C59,Y20) + IF(D22=C59,Y22) + IF(D24=C59,Y24) + IF(D26=C59,Y26) + IF(D28=C59,Y28) + IF(D30=C59,Y30) + IF(D32=C59,Y32) + IF(D34=C59,Y34) + IF(D36=C59,Y36)</f>
        <v>0</v>
      </c>
      <c r="E59" s="36"/>
    </row>
    <row r="60" spans="2:9" ht="15" x14ac:dyDescent="0.3">
      <c r="B60" s="37"/>
      <c r="C60" s="45" t="s">
        <v>8</v>
      </c>
      <c r="D60" s="76">
        <f>IF(D14=C60,Y14) + IF(D16=C60,Y16) + IF(D18=C60,Y18) + IF(D20=C60,Y20) + IF(D22=C60,Y22) + IF(D24=C60,Y24) + IF(D26=C60,Y26) + IF(D28=C60,Y28) + IF(D30=C60,Y30) + IF(D32=C60,Y32) + IF(D34=C60,Y34) + IF(D36=C60,Y36)</f>
        <v>0</v>
      </c>
      <c r="E60" s="39"/>
    </row>
    <row r="63" spans="2:9" ht="15" x14ac:dyDescent="0.3">
      <c r="B63" s="31"/>
      <c r="C63" s="32"/>
      <c r="D63" s="32"/>
      <c r="E63" s="32"/>
      <c r="F63" s="40" t="s">
        <v>253</v>
      </c>
      <c r="G63" s="74">
        <f>IF(F63=CONCATENATE(P14,":",S14),Y14)+IF(F63=CONCATENATE(P16,":",S16),Y16)+IF(F63=CONCATENATE(P18,":",S18),Y18)+IF(F63=CONCATENATE(P20,":",S20),Y20)+IF(F63=CONCATENATE(P22,":",S22),Y22)+IF(F63=CONCATENATE(P24,":",S24),Y24)+IF(F63=CONCATENATE(P26,":",S26),Y26)+IF(F63=CONCATENATE(P28,":",S28),Y28)+IF(F63=CONCATENATE(P30,":",S30),Y30)+IF(F63=CONCATENATE(P32,":",S32),Y32)+IF(F63=CONCATENATE(P34,":",S34),Y34)+IF(F63=CONCATENATE(P36,":",S36),Y36)+IF(F63=CONCATENATE(P36,":",S36),Y36)</f>
        <v>0</v>
      </c>
      <c r="H63" s="33"/>
    </row>
    <row r="64" spans="2:9" ht="15" x14ac:dyDescent="0.3">
      <c r="B64" s="34"/>
      <c r="C64" s="35"/>
      <c r="D64" s="35"/>
      <c r="E64" s="35"/>
      <c r="F64" s="41" t="s">
        <v>254</v>
      </c>
      <c r="G64" s="75">
        <f>IF(F64=CONCATENATE(P14,":",S14),Y14)+IF(F64=CONCATENATE(P16,":",S16),Y16)+IF(F64=CONCATENATE(P18,":",S18),Y18)+IF(F64=CONCATENATE(P20,":",S20),Y20)+IF(F64=CONCATENATE(P22,":",S22),Y22)+IF(F64=CONCATENATE(P24,":",S24),Y24)+IF(F64=CONCATENATE(P26,":",S26),Y26)+IF(F64=CONCATENATE(P28,":",S28),Y28)+IF(F64=CONCATENATE(P30,":",S30),Y30)+IF(F64=CONCATENATE(P32,":",S32),Y32)+IF(F64=CONCATENATE(P34,":",S34),Y34)+IF(F64=CONCATENATE(P36,":",S36),Y36)+IF(F64=CONCATENATE(P36,":",S36),Y36)</f>
        <v>0</v>
      </c>
      <c r="H64" s="36"/>
    </row>
    <row r="65" spans="2:8" ht="15" x14ac:dyDescent="0.3">
      <c r="B65" s="34"/>
      <c r="C65" s="35"/>
      <c r="D65" s="35"/>
      <c r="E65" s="35"/>
      <c r="F65" s="41" t="s">
        <v>255</v>
      </c>
      <c r="G65" s="75">
        <f>IF(F65=CONCATENATE(P14,":",S14),Y14)+IF(F65=CONCATENATE(P16,":",S16),Y16)+IF(F65=CONCATENATE(P18,":",S18),Y18)+IF(F65=CONCATENATE(P20,":",S20),Y20)+IF(F65=CONCATENATE(P22,":",S22),Y22)+IF(F65=CONCATENATE(P24,":",S24),Y24)+IF(F65=CONCATENATE(P26,":",S26),Y26)+IF(F65=CONCATENATE(P28,":",S28),Y28)+IF(F65=CONCATENATE(P30,":",S30),Y30)+IF(F65=CONCATENATE(P32,":",S32),Y32)+IF(F65=CONCATENATE(P34,":",S34),Y34)+IF(F65=CONCATENATE(P36,":",S36),Y36)+IF(F65=CONCATENATE(P36,":",S36),Y36)</f>
        <v>0</v>
      </c>
      <c r="H65" s="36"/>
    </row>
    <row r="66" spans="2:8" ht="15" x14ac:dyDescent="0.3">
      <c r="B66" s="34"/>
      <c r="C66" s="35"/>
      <c r="D66" s="35"/>
      <c r="E66" s="35"/>
      <c r="F66" s="41" t="s">
        <v>297</v>
      </c>
      <c r="G66" s="75">
        <f>IF(F66=CONCATENATE(P14,":",S14),Y14)+IF(F66=CONCATENATE(P16,":",S16),Y16)+IF(F66=CONCATENATE(P18,":",S18),Y18)+IF(F66=CONCATENATE(P20,":",S20),Y20)+IF(F66=CONCATENATE(P22,":",S22),Y22)+IF(F66=CONCATENATE(P24,":",S24),Y24)+IF(F66=CONCATENATE(P26,":",S26),Y26)+IF(F66=CONCATENATE(P28,":",S28),Y28)+IF(F66=CONCATENATE(P30,":",S30),Y30)+IF(F66=CONCATENATE(P32,":",S32),Y32)+IF(F66=CONCATENATE(P34,":",S34),Y34)+IF(F66=CONCATENATE(P36,":",S36),Y36)+IF(F66=CONCATENATE(P36,":",S36),Y36)</f>
        <v>0</v>
      </c>
      <c r="H66" s="36"/>
    </row>
    <row r="67" spans="2:8" s="64" customFormat="1" ht="15" x14ac:dyDescent="0.3">
      <c r="B67" s="68"/>
      <c r="C67" s="69"/>
      <c r="D67" s="69"/>
      <c r="E67" s="69"/>
      <c r="F67" s="41" t="s">
        <v>256</v>
      </c>
      <c r="G67" s="75">
        <f>IF(F67=CONCATENATE(P14,":",S14),Y14)+IF(F67=CONCATENATE(P16,":",S16),Y16)+IF(F67=CONCATENATE(P18,":",S18),Y18)+IF(F67=CONCATENATE(P20,":",S20),Y20)+IF(F67=CONCATENATE(P22,":",S22),Y22)+IF(F67=CONCATENATE(P24,":",S24),Y24)+IF(F67=CONCATENATE(P26,":",S26),Y26)+IF(F67=CONCATENATE(P28,":",S28),Y28)+IF(F67=CONCATENATE(P30,":",S30),Y30)+IF(F67=CONCATENATE(P32,":",S32),Y32)+IF(F67=CONCATENATE(P34,":",S34),Y34)+IF(F67=CONCATENATE(P36,":",S36),Y36)+IF(F67=CONCATENATE(P87,":",S38),Y38)</f>
        <v>0</v>
      </c>
      <c r="H67" s="70"/>
    </row>
    <row r="68" spans="2:8" ht="15" x14ac:dyDescent="0.3">
      <c r="B68" s="34"/>
      <c r="C68" s="35"/>
      <c r="D68" s="35"/>
      <c r="E68" s="35"/>
      <c r="F68" s="41" t="s">
        <v>257</v>
      </c>
      <c r="G68" s="75">
        <f>IF(F68=CONCATENATE(P14,":",S14),Y14)+IF(F68=CONCATENATE(P16,":",S16),Y16)+IF(F68=CONCATENATE(P18,":",S18),Y18)+IF(F68=CONCATENATE(P20,":",S20),Y20)+IF(F68=CONCATENATE(P22,":",S22),Y22)+IF(F68=CONCATENATE(P24,":",S24),Y24)+IF(F68=CONCATENATE(P26,":",S26),Y26)+IF(F68=CONCATENATE(P28,":",S28),Y28)+IF(F68=CONCATENATE(P30,":",S30),Y30)+IF(F68=CONCATENATE(P32,":",S32),Y32)+IF(F68=CONCATENATE(P34,":",S34),Y34)+IF(F68=CONCATENATE(P36,":",S36),Y36)+IF(F68=CONCATENATE(P36,":",S36),Y36)</f>
        <v>0</v>
      </c>
      <c r="H68" s="36"/>
    </row>
    <row r="69" spans="2:8" ht="15" x14ac:dyDescent="0.3">
      <c r="B69" s="34"/>
      <c r="C69" s="35"/>
      <c r="D69" s="35"/>
      <c r="E69" s="35"/>
      <c r="F69" s="41" t="s">
        <v>258</v>
      </c>
      <c r="G69" s="75">
        <f>IF(F69=CONCATENATE(P14,":",S14),Y14)+IF(F69=CONCATENATE(P16,":",S16),Y16)+IF(F69=CONCATENATE(P18,":",S18),Y18)+IF(F69=CONCATENATE(P20,":",S20),Y20)+IF(F69=CONCATENATE(P22,":",S22),Y22)+IF(F69=CONCATENATE(P24,":",S24),Y24)+IF(F69=CONCATENATE(P26,":",S26),Y26)+IF(F69=CONCATENATE(P28,":",S28),Y28)+IF(F69=CONCATENATE(P30,":",S30),Y30)+IF(F69=CONCATENATE(P32,":",S32),Y32)+IF(F69=CONCATENATE(P34,":",S34),Y34)+IF(F69=CONCATENATE(P36,":",S36),Y36)+IF(F69=CONCATENATE(P36,":",S36),Y36)</f>
        <v>0</v>
      </c>
      <c r="H69" s="36"/>
    </row>
    <row r="70" spans="2:8" ht="15" x14ac:dyDescent="0.3">
      <c r="B70" s="34"/>
      <c r="C70" s="35"/>
      <c r="D70" s="35"/>
      <c r="E70" s="35"/>
      <c r="F70" s="41" t="s">
        <v>259</v>
      </c>
      <c r="G70" s="75">
        <f>IF(F70=CONCATENATE(P14,":",S14),Y14)+IF(F70=CONCATENATE(P16,":",S16),Y16)+IF(F70=CONCATENATE(P18,":",S18),Y18)+IF(F70=CONCATENATE(P20,":",S20),Y20)+IF(F70=CONCATENATE(P22,":",S22),Y22)+IF(F70=CONCATENATE(P24,":",S24),Y24)+IF(F70=CONCATENATE(P26,":",S26),Y26)+IF(F70=CONCATENATE(P28,":",S28),Y28)+IF(F70=CONCATENATE(P30,":",S30),Y30)+IF(F70=CONCATENATE(P32,":",S32),Y32)+IF(F70=CONCATENATE(P34,":",S34),Y34)+IF(F70=CONCATENATE(P36,":",S36),Y36)+IF(F70=CONCATENATE(P36,":",S36),Y36)</f>
        <v>0</v>
      </c>
      <c r="H70" s="36"/>
    </row>
    <row r="71" spans="2:8" ht="15" x14ac:dyDescent="0.3">
      <c r="B71" s="34"/>
      <c r="C71" s="35"/>
      <c r="D71" s="35"/>
      <c r="E71" s="35"/>
      <c r="F71" s="41" t="s">
        <v>260</v>
      </c>
      <c r="G71" s="75">
        <f>IF(F71=CONCATENATE(P14,":",S14),Y14)+IF(F71=CONCATENATE(P16,":",S16),Y16)+IF(F71=CONCATENATE(P18,":",S18),Y18)+IF(F71=CONCATENATE(P20,":",S20),Y20)+IF(F71=CONCATENATE(P22,":",S22),Y22)+IF(F71=CONCATENATE(P24,":",S24),Y24)+IF(F71=CONCATENATE(P26,":",S26),Y26)+IF(F71=CONCATENATE(P28,":",S28),Y28)+IF(F71=CONCATENATE(P30,":",S30),Y30)+IF(F71=CONCATENATE(P32,":",S32),Y32)+IF(F71=CONCATENATE(P34,":",S34),Y34)+IF(F71=CONCATENATE(P36,":",S36),Y36)+IF(F71=CONCATENATE(P36,":",S36),Y36)</f>
        <v>0</v>
      </c>
      <c r="H71" s="36"/>
    </row>
    <row r="72" spans="2:8" ht="15" x14ac:dyDescent="0.3">
      <c r="B72" s="34"/>
      <c r="C72" s="35"/>
      <c r="D72" s="35"/>
      <c r="E72" s="35"/>
      <c r="F72" s="41" t="s">
        <v>261</v>
      </c>
      <c r="G72" s="75">
        <f>IF(F72=CONCATENATE(P14,":",S14),Y14)+IF(F72=CONCATENATE(P16,":",S16),Y16)+IF(F72=CONCATENATE(P18,":",S18),Y18)+IF(F72=CONCATENATE(P20,":",S20),Y20)+IF(F72=CONCATENATE(P22,":",S22),Y22)+IF(F72=CONCATENATE(P24,":",S24),Y24)+IF(F72=CONCATENATE(P26,":",S26),Y26)+IF(F72=CONCATENATE(P28,":",S28),Y28)+IF(F72=CONCATENATE(P30,":",S30),Y30)+IF(F72=CONCATENATE(P32,":",S32),Y32)+IF(F72=CONCATENATE(P34,":",S34),Y34)+IF(F72=CONCATENATE(P36,":",S36),Y36)+IF(F72=CONCATENATE(P36,":",S36),Y36)</f>
        <v>0</v>
      </c>
      <c r="H72" s="36"/>
    </row>
    <row r="73" spans="2:8" ht="15" x14ac:dyDescent="0.3">
      <c r="B73" s="34"/>
      <c r="C73" s="35"/>
      <c r="D73" s="35"/>
      <c r="E73" s="35"/>
      <c r="F73" s="41" t="s">
        <v>262</v>
      </c>
      <c r="G73" s="75">
        <f>IF(F73=CONCATENATE(P14,":",S14),Y14)+IF(F73=CONCATENATE(P16,":",S16),Y16)+IF(F73=CONCATENATE(P18,":",S18),Y18)+IF(F73=CONCATENATE(P20,":",S20),Y20)+IF(F73=CONCATENATE(P22,":",S22),Y22)+IF(F73=CONCATENATE(P24,":",S24),Y24)+IF(F73=CONCATENATE(P26,":",S26),Y26)+IF(F73=CONCATENATE(P28,":",S28),Y28)+IF(F73=CONCATENATE(P30,":",S30),Y30)+IF(F73=CONCATENATE(P32,":",S32),Y32)+IF(F73=CONCATENATE(P34,":",S34),Y34)+IF(F73=CONCATENATE(P36,":",S36),Y36)+IF(F73=CONCATENATE(P36,":",S36),Y36)</f>
        <v>2.5</v>
      </c>
      <c r="H73" s="36"/>
    </row>
    <row r="74" spans="2:8" ht="15" x14ac:dyDescent="0.3">
      <c r="B74" s="34"/>
      <c r="C74" s="35"/>
      <c r="D74" s="35"/>
      <c r="E74" s="35"/>
      <c r="F74" s="41" t="s">
        <v>263</v>
      </c>
      <c r="G74" s="75">
        <f>IF(F74=CONCATENATE(P14,":",S14),Y14)+IF(F74=CONCATENATE(P16,":",S16),Y16)+IF(F74=CONCATENATE(P18,":",S18),Y18)+IF(F74=CONCATENATE(P20,":",S20),Y20)+IF(F74=CONCATENATE(P22,":",S22),Y22)+IF(F74=CONCATENATE(P24,":",S24),Y24)+IF(F74=CONCATENATE(P26,":",S26),Y26)+IF(F74=CONCATENATE(P28,":",S28),Y28)+IF(F74=CONCATENATE(P30,":",S30),Y30)+IF(F74=CONCATENATE(P32,":",S32),Y32)+IF(F74=CONCATENATE(P34,":",S34),Y34)+IF(F74=CONCATENATE(P36,":",S36),Y36)+IF(F74=CONCATENATE(P36,":",S36),Y36)</f>
        <v>0</v>
      </c>
      <c r="H74" s="36"/>
    </row>
    <row r="75" spans="2:8" ht="15" x14ac:dyDescent="0.3">
      <c r="B75" s="34"/>
      <c r="C75" s="35"/>
      <c r="D75" s="35"/>
      <c r="E75" s="35"/>
      <c r="F75" s="41" t="s">
        <v>264</v>
      </c>
      <c r="G75" s="75">
        <f>IF(F75=CONCATENATE(P14,":",S14),Y14)+IF(F75=CONCATENATE(P16,":",S16),Y16)+IF(F75=CONCATENATE(P18,":",S18),Y18)+IF(F75=CONCATENATE(P20,":",S20),Y20)+IF(F75=CONCATENATE(P22,":",S22),Y22)+IF(F75=CONCATENATE(P24,":",S24),Y24)+IF(F75=CONCATENATE(P26,":",S26),Y26)+IF(F75=CONCATENATE(P28,":",S28),Y28)+IF(F75=CONCATENATE(P30,":",S30),Y30)+IF(F75=CONCATENATE(P32,":",S32),Y32)+IF(F75=CONCATENATE(P34,":",S34),Y34)+IF(F75=CONCATENATE(P36,":",S36),Y36)+IF(F75=CONCATENATE(P36,":",S36),Y36)</f>
        <v>0</v>
      </c>
      <c r="H75" s="36"/>
    </row>
    <row r="76" spans="2:8" ht="15" x14ac:dyDescent="0.3">
      <c r="B76" s="34"/>
      <c r="C76" s="35"/>
      <c r="D76" s="35"/>
      <c r="E76" s="35"/>
      <c r="F76" s="41" t="s">
        <v>265</v>
      </c>
      <c r="G76" s="75">
        <f>IF(F76=CONCATENATE(P14,":",S14),Y14)+IF(F76=CONCATENATE(P16,":",S16),Y16)+IF(F76=CONCATENATE(P18,":",S18),Y18)+IF(F76=CONCATENATE(P20,":",S20),Y20)+IF(F76=CONCATENATE(P22,":",S22),Y22)+IF(F76=CONCATENATE(P24,":",S24),Y24)+IF(F76=CONCATENATE(P26,":",S26),Y26)+IF(F76=CONCATENATE(P28,":",S28),Y28)+IF(F76=CONCATENATE(P30,":",S30),Y30)+IF(F76=CONCATENATE(P32,":",S32),Y32)+IF(F76=CONCATENATE(P34,":",S34),Y34)+IF(F76=CONCATENATE(P36,":",S36),Y36)+IF(F76=CONCATENATE(P36,":",S36),Y36)</f>
        <v>0</v>
      </c>
      <c r="H76" s="36"/>
    </row>
    <row r="77" spans="2:8" ht="15" x14ac:dyDescent="0.3">
      <c r="B77" s="34"/>
      <c r="C77" s="35"/>
      <c r="D77" s="35"/>
      <c r="E77" s="35"/>
      <c r="F77" s="41" t="s">
        <v>266</v>
      </c>
      <c r="G77" s="75">
        <f>IF(F77=CONCATENATE(P14,":",S14),Y14)+IF(F77=CONCATENATE(P16,":",S16),Y16)+IF(F77=CONCATENATE(P18,":",S18),Y18)+IF(F77=CONCATENATE(P20,":",S20),Y20)+IF(F77=CONCATENATE(P22,":",S22),Y22)+IF(F77=CONCATENATE(P24,":",S24),Y24)+IF(F77=CONCATENATE(P26,":",S26),Y26)+IF(F77=CONCATENATE(P28,":",S28),Y28)+IF(F77=CONCATENATE(P30,":",S30),Y30)+IF(F77=CONCATENATE(P32,":",S32),Y32)+IF(F77=CONCATENATE(P34,":",S34),Y34)+IF(F77=CONCATENATE(P36,":",S36),Y36)+IF(F77=CONCATENATE(P36,":",S36),Y36)</f>
        <v>2.5</v>
      </c>
      <c r="H77" s="36"/>
    </row>
    <row r="78" spans="2:8" ht="15" x14ac:dyDescent="0.3">
      <c r="B78" s="34"/>
      <c r="C78" s="35"/>
      <c r="D78" s="35"/>
      <c r="E78" s="35"/>
      <c r="F78" s="41" t="s">
        <v>267</v>
      </c>
      <c r="G78" s="75">
        <f>IF(F78=CONCATENATE(P14,":",S14),Y14)+IF(F78=CONCATENATE(P16,":",S16),Y16)+IF(F78=CONCATENATE(P18,":",S18),Y18)+IF(F78=CONCATENATE(P20,":",S20),Y20)+IF(F78=CONCATENATE(P22,":",S22),Y22)+IF(F78=CONCATENATE(P24,":",S24),Y24)+IF(F78=CONCATENATE(P26,":",S26),Y26)+IF(F78=CONCATENATE(P28,":",S28),Y28)+IF(F78=CONCATENATE(P30,":",S30),Y30)+IF(F78=CONCATENATE(P32,":",S32),Y32)+IF(F78=CONCATENATE(P34,":",S34),Y34)+IF(F78=CONCATENATE(P36,":",S36),Y36)+IF(F78=CONCATENATE(P36,":",S36),Y36)</f>
        <v>0</v>
      </c>
      <c r="H78" s="36"/>
    </row>
    <row r="79" spans="2:8" ht="15" x14ac:dyDescent="0.3">
      <c r="B79" s="34"/>
      <c r="C79" s="35"/>
      <c r="D79" s="35"/>
      <c r="E79" s="35"/>
      <c r="F79" s="41" t="s">
        <v>268</v>
      </c>
      <c r="G79" s="75">
        <f>IF(F79=CONCATENATE(P14,":",S14),Y14)+IF(F79=CONCATENATE(P16,":",S16),Y16)+IF(F79=CONCATENATE(P18,":",S18),Y18)+IF(F79=CONCATENATE(P20,":",S20),Y20)+IF(F79=CONCATENATE(P22,":",S22),Y22)+IF(F79=CONCATENATE(P24,":",S24),Y24)+IF(F79=CONCATENATE(P26,":",S26),Y26)+IF(F79=CONCATENATE(P28,":",S28),Y28)+IF(F79=CONCATENATE(P30,":",S30),Y30)+IF(F79=CONCATENATE(P32,":",S32),Y32)+IF(F79=CONCATENATE(P34,":",S34),Y34)+IF(F79=CONCATENATE(P36,":",S36),Y36)+IF(F79=CONCATENATE(P36,":",S36),Y36)</f>
        <v>1</v>
      </c>
      <c r="H79" s="36"/>
    </row>
    <row r="80" spans="2:8" ht="15" x14ac:dyDescent="0.3">
      <c r="B80" s="34"/>
      <c r="C80" s="35"/>
      <c r="D80" s="35"/>
      <c r="E80" s="35"/>
      <c r="F80" s="41" t="s">
        <v>269</v>
      </c>
      <c r="G80" s="75">
        <f>IF(F80=CONCATENATE(P14,":",S14),Y14)+IF(F80=CONCATENATE(P16,":",S16),Y16)+IF(F80=CONCATENATE(P18,":",S18),Y18)+IF(F80=CONCATENATE(P20,":",S20),Y20)+IF(F80=CONCATENATE(P22,":",S22),Y22)+IF(F80=CONCATENATE(P24,":",S24),Y24)+IF(F80=CONCATENATE(P26,":",S26),Y26)+IF(F80=CONCATENATE(P28,":",S28),Y28)+IF(F80=CONCATENATE(P30,":",S30),Y30)+IF(F80=CONCATENATE(P32,":",S32),Y32)+IF(F80=CONCATENATE(P34,":",S34),Y34)+IF(F80=CONCATENATE(P36,":",S36),Y36)+IF(F80=CONCATENATE(P36,":",S36),Y36)</f>
        <v>0</v>
      </c>
      <c r="H80" s="36"/>
    </row>
    <row r="81" spans="2:8" ht="15" x14ac:dyDescent="0.3">
      <c r="B81" s="34"/>
      <c r="C81" s="35"/>
      <c r="D81" s="35"/>
      <c r="E81" s="35"/>
      <c r="F81" s="41" t="s">
        <v>270</v>
      </c>
      <c r="G81" s="75">
        <f>IF(F81=CONCATENATE(P14,":",S14),Y14)+IF(F81=CONCATENATE(P16,":",S16),Y16)+IF(F81=CONCATENATE(P18,":",S18),Y18)+IF(F81=CONCATENATE(P20,":",S20),Y20)+IF(F81=CONCATENATE(P22,":",S22),Y22)+IF(F81=CONCATENATE(P24,":",S24),Y24)+IF(F81=CONCATENATE(P26,":",S26),Y26)+IF(F81=CONCATENATE(P28,":",S28),Y28)+IF(F81=CONCATENATE(P30,":",S30),Y30)+IF(F81=CONCATENATE(P32,":",S32),Y32)+IF(F81=CONCATENATE(P34,":",S34),Y34)+IF(F81=CONCATENATE(P36,":",S36),Y36)+IF(F81=CONCATENATE(P36,":",S36),Y36)</f>
        <v>0</v>
      </c>
      <c r="H81" s="36"/>
    </row>
    <row r="82" spans="2:8" ht="15" x14ac:dyDescent="0.3">
      <c r="B82" s="34"/>
      <c r="C82" s="35"/>
      <c r="D82" s="35"/>
      <c r="E82" s="35"/>
      <c r="F82" s="41" t="s">
        <v>271</v>
      </c>
      <c r="G82" s="75">
        <f>IF(F82=CONCATENATE(P14,":",S14),Y14)+IF(F82=CONCATENATE(P16,":",S16),Y16)+IF(F82=CONCATENATE(P18,":",S18),Y18)+IF(F82=CONCATENATE(P20,":",S20),Y20)+IF(F82=CONCATENATE(P22,":",S22),Y22)+IF(F82=CONCATENATE(P24,":",S24),Y24)+IF(F82=CONCATENATE(P26,":",S26),Y26)+IF(F82=CONCATENATE(P28,":",S28),Y28)+IF(F82=CONCATENATE(P30,":",S30),Y30)+IF(F82=CONCATENATE(P32,":",S32),Y32)+IF(F82=CONCATENATE(P34,":",S34),Y34)+IF(F82=CONCATENATE(P36,":",S36),Y36)+IF(F82=CONCATENATE(P36,":",S36),Y36)</f>
        <v>0</v>
      </c>
      <c r="H82" s="36"/>
    </row>
    <row r="83" spans="2:8" ht="15" x14ac:dyDescent="0.3">
      <c r="B83" s="34"/>
      <c r="C83" s="35"/>
      <c r="D83" s="35"/>
      <c r="E83" s="35"/>
      <c r="F83" s="41" t="s">
        <v>272</v>
      </c>
      <c r="G83" s="75">
        <f>IF(F83=CONCATENATE(P14,":",S14),Y14)+IF(F83=CONCATENATE(P16,":",S16),Y16)+IF(F83=CONCATENATE(P18,":",S18),Y18)+IF(F83=CONCATENATE(P20,":",S20),Y20)+IF(F83=CONCATENATE(P22,":",S22),Y22)+IF(F83=CONCATENATE(P24,":",S24),Y24)+IF(F83=CONCATENATE(P26,":",S26),Y26)+IF(F83=CONCATENATE(P28,":",S28),Y28)+IF(F83=CONCATENATE(P30,":",S30),Y30)+IF(F83=CONCATENATE(P32,":",S32),Y32)+IF(F83=CONCATENATE(P34,":",S34),Y34)+IF(F83=CONCATENATE(P36,":",S36),Y36)+IF(F83=CONCATENATE(P36,":",S36),Y36)</f>
        <v>0</v>
      </c>
      <c r="H83" s="36"/>
    </row>
    <row r="84" spans="2:8" ht="15" x14ac:dyDescent="0.3">
      <c r="B84" s="34"/>
      <c r="C84" s="35"/>
      <c r="D84" s="35"/>
      <c r="E84" s="35"/>
      <c r="F84" s="41" t="s">
        <v>273</v>
      </c>
      <c r="G84" s="75">
        <f>IF(F84=CONCATENATE(P14,":",S14),Y14)+IF(F84=CONCATENATE(P16,":",S16),Y16)+IF(F84=CONCATENATE(P18,":",S18),Y18)+IF(F84=CONCATENATE(P20,":",S20),Y20)+IF(F84=CONCATENATE(P22,":",S22),Y22)+IF(F84=CONCATENATE(P24,":",S24),Y24)+IF(F84=CONCATENATE(P26,":",S26),Y26)+IF(F84=CONCATENATE(P28,":",S28),Y28)+IF(F84=CONCATENATE(P30,":",S30),Y30)+IF(F84=CONCATENATE(P32,":",S32),Y32)+IF(F84=CONCATENATE(P34,":",S34),Y34)+IF(F84=CONCATENATE(P36,":",S36),Y36)+IF(F84=CONCATENATE(P36,":",S36),Y36)</f>
        <v>0</v>
      </c>
      <c r="H84" s="36"/>
    </row>
    <row r="85" spans="2:8" ht="15" x14ac:dyDescent="0.3">
      <c r="B85" s="34"/>
      <c r="C85" s="35"/>
      <c r="D85" s="35"/>
      <c r="E85" s="35"/>
      <c r="F85" s="41" t="s">
        <v>274</v>
      </c>
      <c r="G85" s="75">
        <f>IF(F85=CONCATENATE(P14,":",S14),Y14)+IF(F85=CONCATENATE(P16,":",S16),Y16)+IF(F85=CONCATENATE(P18,":",S18),Y18)+IF(F85=CONCATENATE(P20,":",S20),Y20)+IF(F85=CONCATENATE(P22,":",S22),Y22)+IF(F85=CONCATENATE(P24,":",S24),Y24)+IF(F85=CONCATENATE(P26,":",S26),Y26)+IF(F85=CONCATENATE(P28,":",S28),Y28)+IF(F85=CONCATENATE(P30,":",S30),Y30)+IF(F85=CONCATENATE(P32,":",S32),Y32)+IF(F85=CONCATENATE(P34,":",S34),Y34)+IF(F85=CONCATENATE(P36,":",S36),Y36)+IF(F85=CONCATENATE(P36,":",S36),Y36)</f>
        <v>0</v>
      </c>
      <c r="H85" s="36"/>
    </row>
    <row r="86" spans="2:8" ht="15" x14ac:dyDescent="0.3">
      <c r="B86" s="37"/>
      <c r="C86" s="38"/>
      <c r="D86" s="38"/>
      <c r="E86" s="38"/>
      <c r="F86" s="42" t="s">
        <v>275</v>
      </c>
      <c r="G86" s="76">
        <f>IF(F86=CONCATENATE(P14,":",S14),Y14)+IF(F86=CONCATENATE(P16,":",S16),Y16)+IF(F86=CONCATENATE(P18,":",S18),Y18)+IF(F86=CONCATENATE(P20,":",S20),Y20)+IF(F86=CONCATENATE(P22,":",S22),Y22)+IF(F86=CONCATENATE(P24,":",S24),Y24)+IF(F86=CONCATENATE(P26,":",S26),Y26)+IF(F86=CONCATENATE(P28,":",S28),Y28)+IF(F86=CONCATENATE(P30,":",S30),Y30)+IF(F86=CONCATENATE(P32,":",S32),Y32)+IF(F86=CONCATENATE(P34,":",S34),Y34)+IF(F86=CONCATENATE(P36,":",S36),Y36)+IF(F86=CONCATENATE(P36,":",S36),Y36)</f>
        <v>0</v>
      </c>
      <c r="H86" s="39"/>
    </row>
    <row r="89" spans="2:8" s="64" customFormat="1" ht="15" x14ac:dyDescent="0.3">
      <c r="B89" s="65"/>
      <c r="C89" s="66"/>
      <c r="D89" s="66"/>
      <c r="E89" s="66"/>
      <c r="F89" s="78" t="s">
        <v>291</v>
      </c>
      <c r="G89" s="74">
        <f>IF( F89=CONCATENATE(G14,":",J14),Y14)+IF( F89=CONCATENATE(G16,":",J16),Y16)+IF( F89=CONCATENATE(G18,":",J18),Y18)+IF( F89=CONCATENATE(G20,":",J20),Y20)+IF( F89=CONCATENATE(G22,":",J22),Y22)+IF( F89=CONCATENATE(G24,":",J24),Y24)+IF( F89=CONCATENATE(G26,":",J26),Y26)+IF( F89=CONCATENATE(G28,":",J28),Y28)+IF( F89=CONCATENATE(P30,":",S30),Y30)+IF( F89=CONCATENATE(P32,":",S32),Y32)+IF( F89=CONCATENATE(P34,":",S34),Y34)+IF( F89=CONCATENATE(P36,":",S36),Y36)</f>
        <v>0</v>
      </c>
      <c r="H89" s="67"/>
    </row>
    <row r="90" spans="2:8" s="64" customFormat="1" ht="15" x14ac:dyDescent="0.3">
      <c r="B90" s="68"/>
      <c r="C90" s="69"/>
      <c r="D90" s="69"/>
      <c r="E90" s="69"/>
      <c r="F90" s="77" t="s">
        <v>221</v>
      </c>
      <c r="G90" s="79">
        <f>IF( F90=CONCATENATE(G14,":",J14),Y14)+IF( F90=CONCATENATE(G16,":",J16),Y16)+IF( F90=CONCATENATE(G18,":",J18),Y18)+IF( F90=CONCATENATE(G20,":",J20),Y20)+IF( F90=CONCATENATE(G22,":",J22),Y22)+IF( F90=CONCATENATE(G24,":",J24),Y24)+IF( F90=CONCATENATE(G26,":",J26),Y26)+IF( F90=CONCATENATE(G28,":",J28),Y28)+IF( F90=CONCATENATE(P30,":",S30),Y30)+IF( F90=CONCATENATE(P32,":",S32),Y32)+IF( F90=CONCATENATE(P34,":",S34),Y34)+IF( F90=CONCATENATE(P36,":",S36),Y36)</f>
        <v>0</v>
      </c>
      <c r="H90" s="70"/>
    </row>
    <row r="91" spans="2:8" s="64" customFormat="1" ht="15" x14ac:dyDescent="0.3">
      <c r="B91" s="68"/>
      <c r="C91" s="69"/>
      <c r="D91" s="69"/>
      <c r="E91" s="69"/>
      <c r="F91" s="77" t="s">
        <v>281</v>
      </c>
      <c r="G91" s="79">
        <f>IF( F91=CONCATENATE(G14,":",J14),Y14)+IF( F91=CONCATENATE(G16,":",J16),Y16)+IF( F91=CONCATENATE(G18,":",J18),Y18)+IF( F91=CONCATENATE(G20,":",J20),Y20)+IF( F91=CONCATENATE(G22,":",J22),Y22)+IF( F91=CONCATENATE(G24,":",J24),Y24)+IF( F91=CONCATENATE(G26,":",J26),Y26)+IF( F91=CONCATENATE(G28,":",J28),Y28)+IF( F91=CONCATENATE(P30,":",S30),Y30)+IF( F91=CONCATENATE(P32,":",S32),Y32)+IF( F91=CONCATENATE(P34,":",S34),Y34)+IF( F91=CONCATENATE(P36,":",S36),Y36)</f>
        <v>0</v>
      </c>
      <c r="H91" s="70"/>
    </row>
    <row r="92" spans="2:8" s="64" customFormat="1" ht="15" x14ac:dyDescent="0.3">
      <c r="B92" s="68"/>
      <c r="C92" s="69"/>
      <c r="D92" s="69"/>
      <c r="E92" s="69"/>
      <c r="F92" s="77" t="s">
        <v>222</v>
      </c>
      <c r="G92" s="79">
        <f>IF( F92=CONCATENATE(G14,":",J14),Y14)+IF( F92=CONCATENATE(G16,":",J16),Y16)+IF( F92=CONCATENATE(G18,":",J18),Y18)+IF( F92=CONCATENATE(G20,":",J20),Y20)+IF( F92=CONCATENATE(G22,":",J22),Y22)+IF( F92=CONCATENATE(G24,":",J24),Y24)+IF( F92=CONCATENATE(G26,":",J26),Y26)+IF( F92=CONCATENATE(G28,":",J28),Y28)+IF( F92=CONCATENATE(P30,":",S30),Y30)+IF( F92=CONCATENATE(P32,":",S32),Y32)+IF( F92=CONCATENATE(P34,":",S34),Y34)+IF( F92=CONCATENATE(P36,":",S36),Y36)</f>
        <v>0</v>
      </c>
      <c r="H92" s="70"/>
    </row>
    <row r="93" spans="2:8" s="64" customFormat="1" ht="15" x14ac:dyDescent="0.3">
      <c r="B93" s="68"/>
      <c r="C93" s="69"/>
      <c r="D93" s="69"/>
      <c r="E93" s="69"/>
      <c r="F93" s="77" t="s">
        <v>223</v>
      </c>
      <c r="G93" s="79">
        <f>IF( F93=CONCATENATE(G14,":",J14),Y14)+IF( F93=CONCATENATE(G16,":",J16),Y16)+IF( F93=CONCATENATE(G18,":",J18),Y18)+IF( F93=CONCATENATE(G20,":",J20),Y20)+IF( F93=CONCATENATE(G22,":",J22),Y22)+IF( F93=CONCATENATE(G24,":",J24),Y24)+IF( F93=CONCATENATE(G26,":",J26),Y26)+IF( F93=CONCATENATE(G28,":",J28),Y28)+IF( F93=CONCATENATE(P30,":",S30),Y30)+IF( F93=CONCATENATE(P32,":",S32),Y32)+IF( F93=CONCATENATE(P34,":",S34),Y34)+IF( F93=CONCATENATE(P36,":",S36),Y36)</f>
        <v>0</v>
      </c>
      <c r="H93" s="70"/>
    </row>
    <row r="94" spans="2:8" s="64" customFormat="1" ht="15" x14ac:dyDescent="0.3">
      <c r="B94" s="68"/>
      <c r="C94" s="69"/>
      <c r="D94" s="69"/>
      <c r="E94" s="69"/>
      <c r="F94" s="77" t="s">
        <v>224</v>
      </c>
      <c r="G94" s="79">
        <f>IF( F94=CONCATENATE(G14,":",J14),Y14)+IF( F94=CONCATENATE(G16,":",J16),Y16)+IF( F94=CONCATENATE(G18,":",J18),Y18)+IF( F94=CONCATENATE(G20,":",J20),Y20)+IF( F94=CONCATENATE(G22,":",J22),Y22)+IF( F94=CONCATENATE(G24,":",J24),Y24)+IF( F94=CONCATENATE(G26,":",J26),Y26)+IF( F94=CONCATENATE(G28,":",J28),Y28)+IF( F94=CONCATENATE(P30,":",S30),Y30)+IF( F94=CONCATENATE(P32,":",S32),Y32)+IF( F94=CONCATENATE(P34,":",S34),Y34)+IF( F94=CONCATENATE(P36,":",S36),Y36)</f>
        <v>0</v>
      </c>
      <c r="H94" s="70"/>
    </row>
    <row r="95" spans="2:8" s="64" customFormat="1" ht="15" x14ac:dyDescent="0.3">
      <c r="B95" s="68"/>
      <c r="C95" s="69"/>
      <c r="D95" s="69"/>
      <c r="E95" s="69"/>
      <c r="F95" s="77" t="s">
        <v>225</v>
      </c>
      <c r="G95" s="79">
        <f>IF( F95=CONCATENATE(G14,":",J14),Y14)+IF( F95=CONCATENATE(G16,":",J16),Y16)+IF( F95=CONCATENATE(G18,":",J18),Y18)+IF( F95=CONCATENATE(G20,":",J20),Y20)+IF( F95=CONCATENATE(G22,":",J22),Y22)+IF( F95=CONCATENATE(G24,":",J24),Y24)+IF( F95=CONCATENATE(G26,":",J26),Y26)+IF( F95=CONCATENATE(G28,":",J28),Y28)+IF( F95=CONCATENATE(P30,":",S30),Y30)+IF( F95=CONCATENATE(P32,":",S32),Y32)+IF( F95=CONCATENATE(P34,":",S34),Y34)+IF( F95=CONCATENATE(P36,":",S36),Y36)</f>
        <v>0</v>
      </c>
      <c r="H95" s="70"/>
    </row>
    <row r="96" spans="2:8" s="64" customFormat="1" ht="15" x14ac:dyDescent="0.3">
      <c r="B96" s="68"/>
      <c r="C96" s="69"/>
      <c r="D96" s="69"/>
      <c r="E96" s="69"/>
      <c r="F96" s="77" t="s">
        <v>226</v>
      </c>
      <c r="G96" s="79">
        <f>IF( F96=CONCATENATE(G14,":",J14),Y14)+IF( F96=CONCATENATE(G16,":",J16),Y16)+IF( F96=CONCATENATE(G18,":",J18),Y18)+IF( F96=CONCATENATE(G20,":",J20),Y20)+IF( F96=CONCATENATE(G22,":",J22),Y22)+IF( F96=CONCATENATE(G24,":",J24),Y24)+IF( F96=CONCATENATE(G26,":",J26),Y26)+IF( F96=CONCATENATE(G28,":",J28),Y28)+IF( F96=CONCATENATE(P30,":",S30),Y30)+IF( F96=CONCATENATE(P32,":",S32),Y32)+IF( F96=CONCATENATE(P34,":",S34),Y34)+IF( F96=CONCATENATE(P36,":",S36),Y36)</f>
        <v>0</v>
      </c>
      <c r="H96" s="70"/>
    </row>
    <row r="97" spans="2:8" s="64" customFormat="1" ht="15" x14ac:dyDescent="0.3">
      <c r="B97" s="68"/>
      <c r="C97" s="69"/>
      <c r="D97" s="69"/>
      <c r="E97" s="69"/>
      <c r="F97" s="77" t="s">
        <v>309</v>
      </c>
      <c r="G97" s="79">
        <f>IF( F97=CONCATENATE(G14,":",J14),Y14)+IF( F97=CONCATENATE(G16,":",J16),Y16)+IF( F97=CONCATENATE(G18,":",J18),Y18)+IF( F97=CONCATENATE(G20,":",J20),Y20)+IF( F97=CONCATENATE(G22,":",J22),Y22)+IF( F97=CONCATENATE(G24,":",J24),Y24)+IF( F97=CONCATENATE(G26,":",J26),Y26)+IF( F97=CONCATENATE(G28,":",J28),Y28)+IF( F97=CONCATENATE(P30,":",S30),Y30)+IF( F97=CONCATENATE(P32,":",S32),Y32)+IF( F97=CONCATENATE(P34,":",S34),Y34)+IF( F97=CONCATENATE(P36,":",S36),Y36)</f>
        <v>0</v>
      </c>
      <c r="H97" s="70"/>
    </row>
    <row r="98" spans="2:8" s="64" customFormat="1" ht="15" x14ac:dyDescent="0.3">
      <c r="B98" s="68"/>
      <c r="C98" s="69"/>
      <c r="D98" s="69"/>
      <c r="E98" s="69"/>
      <c r="F98" s="77" t="s">
        <v>307</v>
      </c>
      <c r="G98" s="79">
        <f>IF( F98=CONCATENATE(G14,":",J14),Y14)+IF( F98=CONCATENATE(G16,":",J16),Y16)+IF( F98=CONCATENATE(G18,":",J18),Y18)+IF( F98=CONCATENATE(G20,":",J20),Y20)+IF( F98=CONCATENATE(G22,":",J22),Y22)+IF( F98=CONCATENATE(G24,":",J24),Y24)+IF( F98=CONCATENATE(G26,":",J26),Y26)+IF( F98=CONCATENATE(G28,":",J28),Y28)+IF( F98=CONCATENATE(P30,":",S30),Y30)+IF( F98=CONCATENATE(P32,":",S32),Y32)+IF( F98=CONCATENATE(P34,":",S34),Y34)+IF( F98=CONCATENATE(P36,":",S36),Y36)</f>
        <v>0</v>
      </c>
      <c r="H98" s="70"/>
    </row>
    <row r="99" spans="2:8" s="64" customFormat="1" ht="15" x14ac:dyDescent="0.3">
      <c r="B99" s="68"/>
      <c r="C99" s="69"/>
      <c r="D99" s="69"/>
      <c r="E99" s="69"/>
      <c r="F99" s="77" t="s">
        <v>325</v>
      </c>
      <c r="G99" s="79">
        <f>IF( F99=CONCATENATE(G14,":",J14),Y14)+IF( F99=CONCATENATE(G16,":",J16),Y16)+IF( F99=CONCATENATE(G18,":",J18),Y18)+IF( F99=CONCATENATE(G20,":",J20),Y20)+IF( F99=CONCATENATE(G22,":",J22),Y22)+IF( F99=CONCATENATE(G24,":",J24),Y24)+IF( F99=CONCATENATE(G26,":",J26),Y26)+IF( F99=CONCATENATE(G28,":",J28),Y28)+IF( F99=CONCATENATE(P30,":",S30),Y30)+IF( F99=CONCATENATE(P32,":",S32),Y32)+IF( F99=CONCATENATE(P34,":",S34),Y34)+IF( F99=CONCATENATE(P36,":",S36),Y36)</f>
        <v>0</v>
      </c>
      <c r="H99" s="70"/>
    </row>
    <row r="100" spans="2:8" s="64" customFormat="1" ht="15" x14ac:dyDescent="0.3">
      <c r="B100" s="68"/>
      <c r="C100" s="69"/>
      <c r="D100" s="69"/>
      <c r="E100" s="69"/>
      <c r="F100" s="77" t="s">
        <v>227</v>
      </c>
      <c r="G100" s="79">
        <f>IF(F100=CONCATENATE(G14,":",J14),Y14)+IF(F100=CONCATENATE(G16,":",J16),Y16)+IF(F100=CONCATENATE(G18,":",J18),Y18)+IF(F100=CONCATENATE(G20,":",J20),Y20)+IF(F100=CONCATENATE(G22,":",J22),Y22)+IF(F100=CONCATENATE(G24,":",J24),Y24)+IF(F100=CONCATENATE(G26,":",J26),Y26)+IF(F100=CONCATENATE(G28,":",J28),Y28)+IF(F100=CONCATENATE(P30,":",S30),Y30)+IF(F100=CONCATENATE(P32,":",S32),Y32)+IF(F100=CONCATENATE(P34,":",S34),Y34)+IF(F100=CONCATENATE(P36,":",S36),Y36)</f>
        <v>0</v>
      </c>
      <c r="H100" s="70"/>
    </row>
    <row r="101" spans="2:8" s="64" customFormat="1" ht="15" x14ac:dyDescent="0.3">
      <c r="B101" s="68"/>
      <c r="C101" s="69"/>
      <c r="D101" s="69"/>
      <c r="E101" s="69"/>
      <c r="F101" s="77" t="s">
        <v>228</v>
      </c>
      <c r="G101" s="79">
        <f>IF(F101=CONCATENATE(G14,":",J14),Y14)+IF(F101=CONCATENATE(G16,":",J16),Y16)+IF(F101=CONCATENATE(G18,":",J18),Y18)+IF(F101=CONCATENATE(G20,":",J20),Y20)+IF(F101=CONCATENATE(G22,":",J22),Y22)+IF(F101=CONCATENATE(G24,":",J24),Y24)+IF(F101=CONCATENATE(G26,":",J26),Y26)+IF(F101=CONCATENATE(G28,":",J28),Y28)+IF(F101=CONCATENATE(P30,":",S30),Y30)+IF(F101=CONCATENATE(P32,":",S32),Y32)+IF(F101=CONCATENATE(P34,":",S34),Y34)+IF(F101=CONCATENATE(P36,":",S36),Y36)</f>
        <v>0</v>
      </c>
      <c r="H101" s="70"/>
    </row>
    <row r="102" spans="2:8" s="64" customFormat="1" ht="15" x14ac:dyDescent="0.3">
      <c r="B102" s="68"/>
      <c r="C102" s="69"/>
      <c r="D102" s="69"/>
      <c r="E102" s="69"/>
      <c r="F102" s="77" t="s">
        <v>229</v>
      </c>
      <c r="G102" s="79">
        <f>IF(F102=CONCATENATE(G14,":",J14),Y14)+IF(F102=CONCATENATE(G16,":",J16),Y16)+IF(F102=CONCATENATE(G18,":",J18),Y18)+IF(F102=CONCATENATE(G20,":",J20),Y20)+IF(F102=CONCATENATE(G22,":",J22),Y22)+IF(F102=CONCATENATE(G24,":",J24),Y24)+IF(F102=CONCATENATE(G26,":",J26),Y26)+IF(F102=CONCATENATE(G28,":",J28),Y28)+IF(F102=CONCATENATE(P30,":",S30),Y30)+IF(F102=CONCATENATE(P32,":",S32),Y32)+IF(F102=CONCATENATE(P34,":",S34),Y34)+IF(F102=CONCATENATE(P36,":",S36),Y36)</f>
        <v>0</v>
      </c>
      <c r="H102" s="70"/>
    </row>
    <row r="103" spans="2:8" s="64" customFormat="1" ht="15" x14ac:dyDescent="0.3">
      <c r="B103" s="68"/>
      <c r="C103" s="69"/>
      <c r="D103" s="69"/>
      <c r="E103" s="69"/>
      <c r="F103" s="77" t="s">
        <v>230</v>
      </c>
      <c r="G103" s="79">
        <f>IF(F103=CONCATENATE(G14,":",J14),Y14)+IF(F103=CONCATENATE(G16,":",J16),Y16)+IF(F103=CONCATENATE(G18,":",J18),Y18)+IF(F103=CONCATENATE(G20,":",J20),Y20)+IF(F103=CONCATENATE(G22,":",J22),Y22)+IF(F103=CONCATENATE(G24,":",J24),Y24)+IF(F103=CONCATENATE(G26,":",J26),Y26)+IF(F103=CONCATENATE(G28,":",J28),Y28)+IF(F103=CONCATENATE(P30,":",S30),Y30)+IF(F103=CONCATENATE(P32,":",S32),Y32)+IF(F103=CONCATENATE(P34,":",S34),Y34)+IF(F103=CONCATENATE(P36,":",S36),Y36)</f>
        <v>0</v>
      </c>
      <c r="H103" s="70"/>
    </row>
    <row r="104" spans="2:8" s="64" customFormat="1" ht="15" x14ac:dyDescent="0.3">
      <c r="B104" s="68"/>
      <c r="C104" s="69"/>
      <c r="D104" s="69"/>
      <c r="E104" s="69"/>
      <c r="F104" s="77" t="s">
        <v>231</v>
      </c>
      <c r="G104" s="79">
        <f>IF(F104=CONCATENATE(G14,":",J14),Y14)+IF(F104=CONCATENATE(G16,":",J16),Y16)+IF(F104=CONCATENATE(G18,":",J18),Y18)+IF(F104=CONCATENATE(G20,":",J20),Y20)+IF(F104=CONCATENATE(G22,":",J22),Y22)+IF(F104=CONCATENATE(G24,":",J24),Y24)+IF(F104=CONCATENATE(G26,":",J26),Y26)+IF(F104=CONCATENATE(G28,":",J28),Y28)+IF(F104=CONCATENATE(P30,":",S30),Y30)+IF(F104=CONCATENATE(P32,":",S32),Y32)+IF(F104=CONCATENATE(P34,":",S34),Y34)+IF(F104=CONCATENATE(P36,":",S36),Y36)</f>
        <v>0</v>
      </c>
      <c r="H104" s="70"/>
    </row>
    <row r="105" spans="2:8" s="64" customFormat="1" ht="15" x14ac:dyDescent="0.3">
      <c r="B105" s="68"/>
      <c r="C105" s="69"/>
      <c r="D105" s="69"/>
      <c r="E105" s="69"/>
      <c r="F105" s="77" t="s">
        <v>232</v>
      </c>
      <c r="G105" s="79">
        <f>IF(F105=CONCATENATE(G14,":",J14),Y14)+IF(F105=CONCATENATE(G16,":",J16),Y16)+IF(F105=CONCATENATE(G18,":",J18),Y18)+IF(F105=CONCATENATE(G20,":",J20),Y20)+IF(F105=CONCATENATE(G22,":",J22),Y22)+IF(F105=CONCATENATE(G24,":",J24),Y24)+IF(F105=CONCATENATE(G26,":",J26),Y26)+IF(F105=CONCATENATE(G28,":",J28),Y28)+IF(F105=CONCATENATE(P30,":",S30),Y30)+IF(F105=CONCATENATE(P32,":",S32),Y32)+IF(F105=CONCATENATE(P34,":",S34),Y34)+IF(F105=CONCATENATE(P36,":",S36),Y36)</f>
        <v>0</v>
      </c>
      <c r="H105" s="70"/>
    </row>
    <row r="106" spans="2:8" s="64" customFormat="1" ht="15" x14ac:dyDescent="0.3">
      <c r="B106" s="68"/>
      <c r="C106" s="69"/>
      <c r="D106" s="69"/>
      <c r="E106" s="69"/>
      <c r="F106" s="77" t="s">
        <v>300</v>
      </c>
      <c r="G106" s="79">
        <f>IF(F106=CONCATENATE(G14,":",J14),Y14)+IF(F106=CONCATENATE(G16,":",J16),Y16)+IF(F106=CONCATENATE(G18,":",J18),Y18)+IF(F106=CONCATENATE(G20,":",J20),Y20)+IF(F106=CONCATENATE(G22,":",J22),Y22)+IF(F106=CONCATENATE(G24,":",J24),Y24)+IF(F106=CONCATENATE(G26,":",J26),Y26)+IF(F106=CONCATENATE(G28,":",J28),Y28)+IF(F106=CONCATENATE(P30,":",S30),Y30)+IF(F106=CONCATENATE(P32,":",S32),Y32)+IF(F106=CONCATENATE(P34,":",S34),Y34)+IF(F106=CONCATENATE(P36,":",S36),Y36)</f>
        <v>0</v>
      </c>
      <c r="H106" s="70"/>
    </row>
    <row r="107" spans="2:8" s="64" customFormat="1" ht="15" x14ac:dyDescent="0.3">
      <c r="B107" s="68"/>
      <c r="C107" s="69"/>
      <c r="D107" s="69"/>
      <c r="E107" s="69"/>
      <c r="F107" s="77" t="s">
        <v>286</v>
      </c>
      <c r="G107" s="79">
        <f>IF(F107=CONCATENATE(G14,":",J14),Y14)+IF(F107=CONCATENATE(G16,":",J16),Y16)+IF(F107=CONCATENATE(G18,":",J18),Y18)+IF(F107=CONCATENATE(G20,":",J20),Y20)+IF(F107=CONCATENATE(G22,":",J22),Y22)+IF(F107=CONCATENATE(G24,":",J24),Y24)+IF(F107=CONCATENATE(G26,":",J26),Y26)+IF(F107=CONCATENATE(G28,":",J28),Y28)+IF(F107=CONCATENATE(P30,":",S30),Y30)+IF(F107=CONCATENATE(P32,":",S32),Y32)+IF(F107=CONCATENATE(P34,":",S34),Y34)+IF(F107=CONCATENATE(P36,":",S36),Y36)</f>
        <v>0</v>
      </c>
      <c r="H107" s="70"/>
    </row>
    <row r="108" spans="2:8" s="64" customFormat="1" ht="15" x14ac:dyDescent="0.3">
      <c r="B108" s="68"/>
      <c r="C108" s="69"/>
      <c r="D108" s="69"/>
      <c r="E108" s="69"/>
      <c r="F108" s="77" t="s">
        <v>233</v>
      </c>
      <c r="G108" s="79">
        <f>IF(F108=CONCATENATE(G14,":",J14),Y14)+IF(F108=CONCATENATE(G16,":",J16),Y16)+IF(F108=CONCATENATE(G18,":",J18),Y18)+IF(F108=CONCATENATE(G20,":",J20),Y20)+IF(F108=CONCATENATE(G22,":",J22),Y22)+IF(F108=CONCATENATE(G24,":",J24),Y24)+IF(F108=CONCATENATE(G26,":",J26),Y26)+IF(F108=CONCATENATE(G28,":",J28),Y28)+IF(F108=CONCATENATE(P30,":",S30),Y30)+IF(F108=CONCATENATE(P32,":",S32),Y32)+IF(F108=CONCATENATE(P34,":",S34),Y34)+IF(F108=CONCATENATE(P36,":",S36),Y36)</f>
        <v>0</v>
      </c>
      <c r="H108" s="70"/>
    </row>
    <row r="109" spans="2:8" s="64" customFormat="1" ht="15" x14ac:dyDescent="0.3">
      <c r="B109" s="68"/>
      <c r="C109" s="69"/>
      <c r="D109" s="69"/>
      <c r="E109" s="69"/>
      <c r="F109" s="77" t="s">
        <v>292</v>
      </c>
      <c r="G109" s="79">
        <f>IF(F109=CONCATENATE(G14,":",J14),Y14)+IF(F109=CONCATENATE(G16,":",J16),Y16)+IF(F109=CONCATENATE(G18,":",J18),Y18)+IF(F109=CONCATENATE(G20,":",J20),Y20)+IF(F109=CONCATENATE(G22,":",J22),Y22)+IF(F109=CONCATENATE(G24,":",J24),Y24)+IF(F109=CONCATENATE(G26,":",J26),Y26)+IF(F109=CONCATENATE(G28,":",J28),Y28)+IF(F109=CONCATENATE(P30,":",S30),Y30)+IF(F109=CONCATENATE(P32,":",S32),Y32)+IF(F109=CONCATENATE(P34,":",S34),Y34)+IF(F109=CONCATENATE(P36,":",S36),Y36)</f>
        <v>0</v>
      </c>
      <c r="H109" s="70"/>
    </row>
    <row r="110" spans="2:8" s="64" customFormat="1" ht="15" x14ac:dyDescent="0.3">
      <c r="B110" s="68"/>
      <c r="C110" s="69"/>
      <c r="D110" s="69"/>
      <c r="E110" s="69"/>
      <c r="F110" s="77" t="s">
        <v>234</v>
      </c>
      <c r="G110" s="79">
        <f>IF(F110=CONCATENATE(G14,":",J14),Y14)+IF(F110=CONCATENATE(G16,":",J16),Y16)+IF(F110=CONCATENATE(G18,":",J18),Y18)+IF(F110=CONCATENATE(G20,":",J20),Y20)+IF(F110=CONCATENATE(G22,":",J22),Y22)+IF(F110=CONCATENATE(G24,":",J24),Y24)+IF(F110=CONCATENATE(G26,":",J26),Y26)+IF(F110=CONCATENATE(G28,":",J28),Y28)+IF(F110=CONCATENATE(P30,":",S30),Y30)+IF(F110=CONCATENATE(P32,":",S32),Y32)+IF(F110=CONCATENATE(P34,":",S34),Y34)+IF(F110=CONCATENATE(P36,":",S36),Y36)</f>
        <v>0</v>
      </c>
      <c r="H110" s="70"/>
    </row>
    <row r="111" spans="2:8" s="64" customFormat="1" ht="15" x14ac:dyDescent="0.3">
      <c r="B111" s="68"/>
      <c r="C111" s="69"/>
      <c r="D111" s="69"/>
      <c r="E111" s="69"/>
      <c r="F111" s="77" t="s">
        <v>235</v>
      </c>
      <c r="G111" s="79">
        <f>IF(F111=CONCATENATE(G14,":",J14),Y14)+IF(F111=CONCATENATE(G16,":",J16),Y16)+IF(F111=CONCATENATE(G18,":",J18),Y18)+IF(F111=CONCATENATE(G20,":",J20),Y20)+IF(F111=CONCATENATE(G22,":",J22),Y22)+IF(F111=CONCATENATE(G24,":",J24),Y24)+IF(F111=CONCATENATE(G26,":",J26),Y26)+IF(F111=CONCATENATE(G28,":",J28),Y28)+IF(F111=CONCATENATE(P30,":",S30),Y30)+IF(F111=CONCATENATE(P32,":",S32),Y32)+IF(F111=CONCATENATE(P34,":",S34),Y34)+IF(F111=CONCATENATE(P36,":",S36),Y36)</f>
        <v>0</v>
      </c>
      <c r="H111" s="70"/>
    </row>
    <row r="112" spans="2:8" s="64" customFormat="1" ht="15" x14ac:dyDescent="0.3">
      <c r="B112" s="68"/>
      <c r="C112" s="69"/>
      <c r="D112" s="69"/>
      <c r="E112" s="69"/>
      <c r="F112" s="77" t="s">
        <v>236</v>
      </c>
      <c r="G112" s="79">
        <f>IF(F112=CONCATENATE(G14,":",J14),Y14)+IF(F112=CONCATENATE(G16,":",J16),Y16)+IF(F112=CONCATENATE(G18,":",J18),Y18)+IF(F112=CONCATENATE(G20,":",J20),Y20)+IF(F112=CONCATENATE(G22,":",J22),Y22)+IF(F112=CONCATENATE(G24,":",J24),Y24)+IF(F112=CONCATENATE(G26,":",J26),Y26)+IF(F112=CONCATENATE(G28,":",J28),Y28)+IF(F112=CONCATENATE(P30,":",S30),Y30)+IF(F112=CONCATENATE(P32,":",S32),Y32)+IF(F112=CONCATENATE(P34,":",S34),Y34)+IF(F112=CONCATENATE(P36,":",S36),Y36)</f>
        <v>0</v>
      </c>
      <c r="H112" s="70"/>
    </row>
    <row r="113" spans="2:8" s="64" customFormat="1" ht="15" x14ac:dyDescent="0.3">
      <c r="B113" s="68"/>
      <c r="C113" s="69"/>
      <c r="D113" s="69"/>
      <c r="E113" s="69"/>
      <c r="F113" s="77" t="s">
        <v>237</v>
      </c>
      <c r="G113" s="79">
        <f>IF(F113=CONCATENATE(G14,":",J14),Y14)+IF(F113=CONCATENATE(G16,":",J16),Y16)+IF(F113=CONCATENATE(G18,":",J18),Y18)+IF(F113=CONCATENATE(G20,":",J20),Y20)+IF(F113=CONCATENATE(G22,":",J22),Y22)+IF(F113=CONCATENATE(G24,":",J24),Y24)+IF(F113=CONCATENATE(G26,":",J26),Y26)+IF(F113=CONCATENATE(G28,":",J28),Y28)+IF(F113=CONCATENATE(P30,":",S30),Y30)+IF(F113=CONCATENATE(P32,":",S32),Y32)+IF(F113=CONCATENATE(P34,":",S34),Y34)+IF(F113=CONCATENATE(P36,":",S36),Y36)</f>
        <v>0</v>
      </c>
      <c r="H113" s="70"/>
    </row>
    <row r="114" spans="2:8" s="64" customFormat="1" ht="15" x14ac:dyDescent="0.3">
      <c r="B114" s="68"/>
      <c r="C114" s="69"/>
      <c r="D114" s="69"/>
      <c r="E114" s="69"/>
      <c r="F114" s="77" t="s">
        <v>238</v>
      </c>
      <c r="G114" s="79">
        <f>IF(F114=CONCATENATE(G14,":",J14),Y14)+IF(F114=CONCATENATE(G16,":",J16),Y16)+IF(F114=CONCATENATE(G18,":",J18),Y18)+IF(F114=CONCATENATE(G20,":",J20),Y20)+IF(F114=CONCATENATE(G22,":",J22),Y22)+IF(F114=CONCATENATE(G24,":",J24),Y24)+IF(F114=CONCATENATE(G26,":",J26),Y26)+IF(F114=CONCATENATE(G28,":",J28),Y28)+IF(F114=CONCATENATE(P30,":",S30),Y30)+IF(F114=CONCATENATE(P32,":",S32),Y32)+IF(F114=CONCATENATE(P34,":",S34),Y34)+IF(F114=CONCATENATE(P36,":",S36),Y36)</f>
        <v>0</v>
      </c>
      <c r="H114" s="70"/>
    </row>
    <row r="115" spans="2:8" s="64" customFormat="1" ht="15" x14ac:dyDescent="0.3">
      <c r="B115" s="68"/>
      <c r="C115" s="69"/>
      <c r="D115" s="69"/>
      <c r="E115" s="69"/>
      <c r="F115" s="77" t="s">
        <v>239</v>
      </c>
      <c r="G115" s="79">
        <f>IF(F115=CONCATENATE(G14,":",J14),Y14)+IF(F115=CONCATENATE(G16,":",J16),Y16)+IF(F115=CONCATENATE(G18,":",J18),Y18)+IF(F115=CONCATENATE(G20,":",J20),Y20)+IF(F115=CONCATENATE(G22,":",J22),Y22)+IF(F115=CONCATENATE(G24,":",J24),Y24)+IF(F115=CONCATENATE(G26,":",J26),Y26)+IF(F115=CONCATENATE(G28,":",J28),Y28)+IF(F115=CONCATENATE(P30,":",S30),Y30)+IF(F115=CONCATENATE(P32,":",S32),Y32)+IF(F115=CONCATENATE(P34,":",S34),Y34)+IF(F115=CONCATENATE(P36,":",S36),Y36)</f>
        <v>0</v>
      </c>
      <c r="H115" s="70"/>
    </row>
    <row r="116" spans="2:8" s="64" customFormat="1" ht="15" x14ac:dyDescent="0.3">
      <c r="B116" s="68"/>
      <c r="C116" s="69"/>
      <c r="D116" s="69"/>
      <c r="E116" s="69"/>
      <c r="F116" s="77" t="s">
        <v>321</v>
      </c>
      <c r="G116" s="79">
        <f>IF(F116=CONCATENATE(G14,":",J14),Y14)+IF(F116=CONCATENATE(G16,":",J16),Y16)+IF(F116=CONCATENATE(G18,":",J18),Y18)+IF(F116=CONCATENATE(G20,":",J20),Y20)+IF(F116=CONCATENATE(G22,":",J22),Y22)+IF(F116=CONCATENATE(G24,":",J24),Y24)+IF(F116=CONCATENATE(G26,":",J26),Y26)+IF(F116=CONCATENATE(G28,":",J28),Y28)+IF(F116=CONCATENATE(P30,":",S30),Y30)+IF(F116=CONCATENATE(P32,":",S32),Y32)+IF(F116=CONCATENATE(P34,":",S34),Y34)+IF(F116=CONCATENATE(P36,":",S36),Y36)</f>
        <v>0</v>
      </c>
      <c r="H116" s="70"/>
    </row>
    <row r="117" spans="2:8" s="64" customFormat="1" ht="15" x14ac:dyDescent="0.3">
      <c r="B117" s="68"/>
      <c r="C117" s="69"/>
      <c r="D117" s="69"/>
      <c r="E117" s="69"/>
      <c r="F117" s="77" t="s">
        <v>240</v>
      </c>
      <c r="G117" s="79">
        <f>IF(F117=CONCATENATE(G14,":",J14),Y14)+IF(F117=CONCATENATE(G16,":",J16),Y16)+IF(F117=CONCATENATE(G18,":",J18),Y18)+IF(F117=CONCATENATE(G20,":",J20),Y20)+IF(F117=CONCATENATE(G22,":",J22),Y22)+IF(F117=CONCATENATE(G24,":",J24),Y24)+IF(F117=CONCATENATE(G26,":",J26),Y26)+IF(F117=CONCATENATE(G28,":",J28),Y28)+IF(F117=CONCATENATE(P30,":",S30),Y30)+IF(F117=CONCATENATE(P32,":",S32),Y32)+IF(F117=CONCATENATE(P34,":",S34),Y34)+IF(F117=CONCATENATE(P36,":",S36),Y36)</f>
        <v>0</v>
      </c>
      <c r="H117" s="70"/>
    </row>
    <row r="118" spans="2:8" s="64" customFormat="1" ht="15" x14ac:dyDescent="0.3">
      <c r="B118" s="68"/>
      <c r="C118" s="69"/>
      <c r="D118" s="69"/>
      <c r="E118" s="69"/>
      <c r="F118" s="77" t="s">
        <v>305</v>
      </c>
      <c r="G118" s="79">
        <f>IF(F118=CONCATENATE(G14,":",J14),Y14)+IF(F118=CONCATENATE(G16,":",J16),Y16)+IF(F118=CONCATENATE(G18,":",J18),Y18)+IF(F118=CONCATENATE(G20,":",J20),Y20)+IF(F118=CONCATENATE(G22,":",J22),Y22)+IF(F118=CONCATENATE(G24,":",J24),Y24)+IF(F118=CONCATENATE(G26,":",J26),Y26)+IF(F118=CONCATENATE(G28,":",J28),Y28)+IF(F118=CONCATENATE(P30,":",S30),Y30)+IF(F118=CONCATENATE(P32,":",S32),Y32)+IF(F118=CONCATENATE(P34,":",S34),Y34)+IF(F118=CONCATENATE(P36,":",S36),Y36)</f>
        <v>0</v>
      </c>
      <c r="H118" s="70"/>
    </row>
    <row r="119" spans="2:8" s="64" customFormat="1" ht="15" x14ac:dyDescent="0.3">
      <c r="B119" s="68"/>
      <c r="C119" s="69"/>
      <c r="D119" s="69"/>
      <c r="E119" s="69"/>
      <c r="F119" s="77" t="s">
        <v>244</v>
      </c>
      <c r="G119" s="79">
        <f>IF(F119=CONCATENATE(G14,":",J14),Y14)+IF(F119=CONCATENATE(G16,":",J16),Y16)+IF(F119=CONCATENATE(G18,":",J18),Y18)+IF(F119=CONCATENATE(G20,":",J20),Y20)+IF(F119=CONCATENATE(G22,":",J22),Y22)+IF(F119=CONCATENATE(G24,":",J24),Y24)+IF(F119=CONCATENATE(G26,":",J26),Y26)+IF(F119=CONCATENATE(G28,":",J28),Y28)+IF(F119=CONCATENATE(P30,":",S30),Y30)+IF(F119=CONCATENATE(P32,":",S32),Y32)+IF(F119=CONCATENATE(P34,":",S34),Y34)+IF(F119=CONCATENATE(P36,":",S36),Y36)</f>
        <v>0</v>
      </c>
      <c r="H119" s="70"/>
    </row>
    <row r="120" spans="2:8" s="64" customFormat="1" ht="15" x14ac:dyDescent="0.3">
      <c r="B120" s="68"/>
      <c r="C120" s="69"/>
      <c r="D120" s="69"/>
      <c r="E120" s="69"/>
      <c r="F120" s="77" t="s">
        <v>241</v>
      </c>
      <c r="G120" s="79">
        <f>IF(F120=CONCATENATE(G14,":",J14),Y14)+IF(F120=CONCATENATE(G16,":",J16),Y16)+IF(F120=CONCATENATE(G18,":",J18),Y18)+IF(F120=CONCATENATE(G20,":",J20),Y20)+IF(F120=CONCATENATE(G22,":",J22),Y22)+IF(F120=CONCATENATE(G24,":",J24),Y24)+IF(F120=CONCATENATE(G26,":",J26),Y26)+IF(F120=CONCATENATE(G28,":",J28),Y28)+IF(F120=CONCATENATE(P30,":",S30),Y30)+IF(F120=CONCATENATE(P32,":",S32),Y32)+IF(F120=CONCATENATE(P34,":",S34),Y34)+IF(F120=CONCATENATE(P36,":",S36),Y36)</f>
        <v>0</v>
      </c>
      <c r="H120" s="70"/>
    </row>
    <row r="121" spans="2:8" s="64" customFormat="1" ht="15" x14ac:dyDescent="0.3">
      <c r="B121" s="68"/>
      <c r="C121" s="69"/>
      <c r="D121" s="69"/>
      <c r="E121" s="69"/>
      <c r="F121" s="77" t="s">
        <v>317</v>
      </c>
      <c r="G121" s="79">
        <f>IF(F121=CONCATENATE(G14,":",J14),Y14)+IF(F121=CONCATENATE(G16,":",J16),Y16)+IF(F121=CONCATENATE(G18,":",J18),Y18)+IF(F121=CONCATENATE(G20,":",J20),Y20)+IF(F121=CONCATENATE(G22,":",J22),Y22)+IF(F121=CONCATENATE(G24,":",J24),Y24)+IF(F121=CONCATENATE(G26,":",J26),Y26)+IF(F121=CONCATENATE(G28,":",J28),Y28)+IF(F121=CONCATENATE(P30,":",S30),Y30)+IF(F121=CONCATENATE(P32,":",S32),Y32)+IF(F121=CONCATENATE(P34,":",S34),Y34)+IF(F121=CONCATENATE(P36,":",S36),Y36)</f>
        <v>0</v>
      </c>
      <c r="H121" s="70"/>
    </row>
    <row r="122" spans="2:8" s="64" customFormat="1" ht="15" x14ac:dyDescent="0.3">
      <c r="B122" s="68"/>
      <c r="C122" s="69"/>
      <c r="D122" s="69"/>
      <c r="E122" s="69"/>
      <c r="F122" s="77" t="s">
        <v>242</v>
      </c>
      <c r="G122" s="79">
        <f>IF(F122=CONCATENATE(G14,":",J14),Y14)+IF(F122=CONCATENATE(G16,":",J16),Y16)+IF(F122=CONCATENATE(G18,":",J18),Y18)+IF(F122=CONCATENATE(G20,":",J20),Y20)+IF(F122=CONCATENATE(G22,":",J22),Y22)+IF(F122=CONCATENATE(G24,":",J24),Y24)+IF(F122=CONCATENATE(G26,":",J26),Y26)+IF(F122=CONCATENATE(G28,":",J28),Y28)+IF(F122=CONCATENATE(P30,":",S30),Y30)+IF(F122=CONCATENATE(P32,":",S32),Y32)+IF(F122=CONCATENATE(P34,":",S34),Y34)+IF(F122=CONCATENATE(P36,":",S36),Y36)</f>
        <v>0</v>
      </c>
      <c r="H122" s="70"/>
    </row>
    <row r="123" spans="2:8" s="64" customFormat="1" ht="15" x14ac:dyDescent="0.3">
      <c r="B123" s="68"/>
      <c r="C123" s="69"/>
      <c r="D123" s="69"/>
      <c r="E123" s="69"/>
      <c r="F123" s="77" t="s">
        <v>322</v>
      </c>
      <c r="G123" s="79">
        <f>IF(F123=CONCATENATE(G14,":",J14),Y14)+IF(F123=CONCATENATE(G16,":",J16),Y16)+IF(F123=CONCATENATE(G18,":",J18),Y18)+IF(F123=CONCATENATE(G20,":",J20),Y20)+IF(F123=CONCATENATE(G22,":",J22),Y22)+IF(F123=CONCATENATE(G24,":",J24),Y24)+IF(F123=CONCATENATE(G26,":",J26),Y26)+IF(F123=CONCATENATE(G28,":",J28),Y28)+IF(F123=CONCATENATE(P30,":",S30),Y30)+IF(F123=CONCATENATE(P32,":",S32),Y32)+IF(F123=CONCATENATE(P34,":",S34),Y34)+IF(F123=CONCATENATE(P36,":",S36),Y36)</f>
        <v>0</v>
      </c>
      <c r="H123" s="70"/>
    </row>
    <row r="124" spans="2:8" s="64" customFormat="1" ht="15" x14ac:dyDescent="0.3">
      <c r="B124" s="68"/>
      <c r="C124" s="69"/>
      <c r="D124" s="69"/>
      <c r="E124" s="69"/>
      <c r="F124" s="77" t="s">
        <v>311</v>
      </c>
      <c r="G124" s="79">
        <f>IF(F124=CONCATENATE(G14,":",J14),Y14)+IF(F124=CONCATENATE(G16,":",J16),Y16)+IF(F124=CONCATENATE(G18,":",J18),Y18)+IF(F124=CONCATENATE(G20,":",J20),Y20)+IF(F124=CONCATENATE(G22,":",J22),Y22)+IF(F124=CONCATENATE(G24,":",J24),Y24)+IF(F124=CONCATENATE(G26,":",J26),Y26)+IF(F124=CONCATENATE(G28,":",J28),Y28)+IF(F124=CONCATENATE(P30,":",S30),Y30)+IF(F124=CONCATENATE(P32,":",S32),Y32)+IF(F124=CONCATENATE(P34,":",S34),Y34)+IF(F124=CONCATENATE(P36,":",S36),Y36)</f>
        <v>0</v>
      </c>
      <c r="H124" s="70"/>
    </row>
    <row r="125" spans="2:8" s="64" customFormat="1" ht="15" x14ac:dyDescent="0.3">
      <c r="B125" s="68"/>
      <c r="C125" s="69"/>
      <c r="D125" s="69"/>
      <c r="E125" s="69"/>
      <c r="F125" s="77" t="s">
        <v>243</v>
      </c>
      <c r="G125" s="79">
        <f>IF(F125=CONCATENATE(G14,":",J14),Y14)+IF(F125=CONCATENATE(G16,":",J16),Y16)+IF(F125=CONCATENATE(G18,":",J18),Y18)+IF(F125=CONCATENATE(G20,":",J20),Y20)+IF(F125=CONCATENATE(G22,":",J22),Y22)+IF(F125=CONCATENATE(G24,":",J24),Y24)+IF(F125=CONCATENATE(G26,":",J26),Y26)+IF(F125=CONCATENATE(G28,":",J28),Y28)+IF(F125=CONCATENATE(P30,":",S30),Y30)+IF(F125=CONCATENATE(P32,":",S32),Y32)+IF(F125=CONCATENATE(P34,":",S34),Y34)+IF(F125=CONCATENATE(P36,":",S36),Y36)</f>
        <v>0</v>
      </c>
      <c r="H125" s="70"/>
    </row>
    <row r="126" spans="2:8" s="64" customFormat="1" ht="15" x14ac:dyDescent="0.3">
      <c r="B126" s="68"/>
      <c r="C126" s="69"/>
      <c r="D126" s="69"/>
      <c r="E126" s="69"/>
      <c r="F126" s="77" t="s">
        <v>312</v>
      </c>
      <c r="G126" s="79">
        <f>IF(F126=CONCATENATE(G14,":",J14),Y14)+IF(F126=CONCATENATE(G16,":",J16),Y16)+IF(F126=CONCATENATE(G18,":",J18),Y18)+IF(F126=CONCATENATE(G20,":",J20),Y20)+IF(F126=CONCATENATE(G22,":",J22),Y22)+IF(F126=CONCATENATE(G24,":",J24),Y24)+IF(F126=CONCATENATE(G26,":",J26),Y26)+IF(F126=CONCATENATE(G28,":",J28),Y28)+IF(F126=CONCATENATE(P30,":",S30),Y30)+IF(F126=CONCATENATE(P32,":",S32),Y32)+IF(F126=CONCATENATE(P34,":",S34),Y34)+IF(F126=CONCATENATE(P36,":",S36),Y36)</f>
        <v>0</v>
      </c>
      <c r="H126" s="70"/>
    </row>
    <row r="127" spans="2:8" s="64" customFormat="1" ht="15" x14ac:dyDescent="0.3">
      <c r="B127" s="68"/>
      <c r="C127" s="69"/>
      <c r="D127" s="69"/>
      <c r="E127" s="69"/>
      <c r="F127" s="77" t="s">
        <v>313</v>
      </c>
      <c r="G127" s="79">
        <f>IF(F127=CONCATENATE(G14,":",J14),Y14)+IF(F127=CONCATENATE(G16,":",J16),Y16)+IF(F127=CONCATENATE(G18,":",J18),Y18)+IF(F127=CONCATENATE(G20,":",J20),Y20)+IF(F127=CONCATENATE(G22,":",J22),Y22)+IF(F127=CONCATENATE(G24,":",J24),Y24)+IF(F127=CONCATENATE(G26,":",J26),Y26)+IF(F127=CONCATENATE(G28,":",J28),Y28)+IF(F127=CONCATENATE(P30,":",S30),Y30)+IF(F127=CONCATENATE(P32,":",S32),Y32)+IF(F127=CONCATENATE(P34,":",S34),Y34)+IF(F127=CONCATENATE(P36,":",S36),Y36)</f>
        <v>0</v>
      </c>
      <c r="H127" s="70"/>
    </row>
    <row r="128" spans="2:8" s="64" customFormat="1" ht="15" x14ac:dyDescent="0.3">
      <c r="B128" s="68"/>
      <c r="C128" s="69"/>
      <c r="D128" s="69"/>
      <c r="E128" s="69"/>
      <c r="F128" s="77" t="s">
        <v>288</v>
      </c>
      <c r="G128" s="79">
        <f>IF(F128=CONCATENATE(G14,":",J14),Y14)+IF(F128=CONCATENATE(G16,":",J16),Y16)+IF(F128=CONCATENATE(G18,":",J18),Y18)+IF(F128=CONCATENATE(G20,":",J20),Y20)+IF(F128=CONCATENATE(G22,":",J22),Y22)+IF(F128=CONCATENATE(G24,":",J24),Y24)+IF(F128=CONCATENATE(G26,":",J26),Y26)+IF(F128=CONCATENATE(G28,":",J28),Y28)+IF(F128=CONCATENATE(P30,":",S30),Y30)+IF(F128=CONCATENATE(P32,":",S32),Y32)+IF(F128=CONCATENATE(P34,":",S34),Y34)+IF(F128=CONCATENATE(P36,":",S36),Y36)</f>
        <v>0</v>
      </c>
      <c r="H128" s="70"/>
    </row>
    <row r="129" spans="2:8" s="64" customFormat="1" ht="15" x14ac:dyDescent="0.3">
      <c r="B129" s="68"/>
      <c r="C129" s="69"/>
      <c r="D129" s="69"/>
      <c r="E129" s="69"/>
      <c r="F129" s="77" t="s">
        <v>245</v>
      </c>
      <c r="G129" s="79">
        <f>IF(F129=CONCATENATE(G14,":",J14),Y14)+IF(F129=CONCATENATE(G16,":",J16),Y16)+IF(F129=CONCATENATE(G18,":",J18),Y18)+IF(F129=CONCATENATE(G20,":",J20),Y20)+IF(F129=CONCATENATE(G22,":",J22),Y22)+IF(F129=CONCATENATE(G24,":",J24),Y24)+IF(F129=CONCATENATE(G26,":",J26),Y26)+IF(F129=CONCATENATE(G28,":",J28),Y28)+IF(F129=CONCATENATE(P30,":",S30),Y30)+IF(F129=CONCATENATE(P32,":",S32),Y32)+IF(F129=CONCATENATE(P34,":",S34),Y34)+IF(F129=CONCATENATE(P36,":",S36),Y36)</f>
        <v>0</v>
      </c>
      <c r="H129" s="70"/>
    </row>
    <row r="130" spans="2:8" s="64" customFormat="1" ht="15" x14ac:dyDescent="0.3">
      <c r="B130" s="68"/>
      <c r="C130" s="69"/>
      <c r="D130" s="69"/>
      <c r="E130" s="69"/>
      <c r="F130" s="77" t="s">
        <v>246</v>
      </c>
      <c r="G130" s="79">
        <f>IF(F130=CONCATENATE(G14,":",J14),Y14)+IF(F130=CONCATENATE(G16,":",J16),Y16)+IF(F130=CONCATENATE(G18,":",J18),Y18)+IF(F130=CONCATENATE(G20,":",J20),Y20)+IF(F130=CONCATENATE(G22,":",J22),Y22)+IF(F130=CONCATENATE(G24,":",J24),Y24)+IF(F130=CONCATENATE(G26,":",J26),Y26)+IF(F130=CONCATENATE(G28,":",J28),Y28)+IF(F130=CONCATENATE(P30,":",S30),Y30)+IF(F130=CONCATENATE(P32,":",S32),Y32)+IF(F130=CONCATENATE(P34,":",S34),Y34)+IF(F130=CONCATENATE(P36,":",S36),Y36)</f>
        <v>0</v>
      </c>
      <c r="H130" s="70"/>
    </row>
    <row r="131" spans="2:8" s="64" customFormat="1" ht="15" x14ac:dyDescent="0.3">
      <c r="B131" s="68"/>
      <c r="C131" s="69"/>
      <c r="D131" s="69"/>
      <c r="E131" s="69"/>
      <c r="F131" s="77" t="s">
        <v>247</v>
      </c>
      <c r="G131" s="79">
        <f>IF(F131=CONCATENATE(G14,":",J14),Y14)+IF(F131=CONCATENATE(G16,":",J16),Y16)+IF(F131=CONCATENATE(G18,":",J18),Y18)+IF(F131=CONCATENATE(G20,":",J20),Y20)+IF(F131=CONCATENATE(G22,":",J22),Y22)+IF(F131=CONCATENATE(G24,":",J24),Y24)+IF(F131=CONCATENATE(G26,":",J26),Y26)+IF(F131=CONCATENATE(G28,":",J28),Y28)+IF(F131=CONCATENATE(P30,":",S30),Y30)+IF(F131=CONCATENATE(P32,":",S32),Y32)+IF(F131=CONCATENATE(P34,":",S34),Y34)+IF(F131=CONCATENATE(P36,":",S36),Y36)</f>
        <v>0</v>
      </c>
      <c r="H131" s="70"/>
    </row>
    <row r="132" spans="2:8" s="64" customFormat="1" ht="15" x14ac:dyDescent="0.3">
      <c r="B132" s="68"/>
      <c r="C132" s="69"/>
      <c r="D132" s="69"/>
      <c r="E132" s="69"/>
      <c r="F132" s="77" t="s">
        <v>248</v>
      </c>
      <c r="G132" s="79">
        <f>IF(F132=CONCATENATE(G14,":",J14),Y14)+IF(F132=CONCATENATE(G16,":",J16),Y16)+IF(F132=CONCATENATE(G18,":",J18),Y18)+IF(F132=CONCATENATE(G20,":",J20),Y20)+IF(F132=CONCATENATE(G22,":",J22),Y22)+IF(F132=CONCATENATE(G24,":",J24),Y24)+IF(F132=CONCATENATE(G26,":",J26),Y26)+IF(F132=CONCATENATE(G28,":",J28),Y28)+IF(F132=CONCATENATE(P30,":",S30),Y30)+IF(F132=CONCATENATE(P32,":",S32),Y32)+IF(F132=CONCATENATE(P34,":",S34),Y34)+IF(F132=CONCATENATE(P36,":",S36),Y36)</f>
        <v>0</v>
      </c>
      <c r="H132" s="70"/>
    </row>
    <row r="133" spans="2:8" s="64" customFormat="1" ht="15" x14ac:dyDescent="0.3">
      <c r="B133" s="68"/>
      <c r="C133" s="69"/>
      <c r="D133" s="69"/>
      <c r="E133" s="69"/>
      <c r="F133" s="77" t="s">
        <v>249</v>
      </c>
      <c r="G133" s="79">
        <f>IF(F133=CONCATENATE(G14,":",J14),Y14)+IF(F133=CONCATENATE(G16,":",J16),Y16)+IF(F133=CONCATENATE(G18,":",J18),Y18)+IF(F133=CONCATENATE(G20,":",J20),Y20)+IF(F133=CONCATENATE(G22,":",J22),Y22)+IF(F133=CONCATENATE(G24,":",J24),Y24)+IF(F131=CONCATENATE(G26,":",J26),Y26)+IF(F133=CONCATENATE(G28,":",J28),Y28)+IF(F133=CONCATENATE(P30,":",S30),Y30)+IF(F133=CONCATENATE(P32,":",S32),Y32)+IF(F133=CONCATENATE(P34,":",S34),Y34)+IF(F133=CONCATENATE(P36,":",S36),Y36)</f>
        <v>0</v>
      </c>
      <c r="H133" s="70"/>
    </row>
    <row r="134" spans="2:8" s="64" customFormat="1" ht="15" x14ac:dyDescent="0.3">
      <c r="B134" s="68"/>
      <c r="C134" s="69"/>
      <c r="D134" s="69"/>
      <c r="E134" s="69"/>
      <c r="F134" s="77" t="s">
        <v>250</v>
      </c>
      <c r="G134" s="79">
        <f>IF(F134=CONCATENATE(G14,":",J14),Y14)+IF(F134=CONCATENATE(G16,":",J16),Y16)+IF(F134=CONCATENATE(G18,":",J18),Y18)+IF(F134=CONCATENATE(G20,":",J20),Y20)+IF(F134=CONCATENATE(G22,":",J22),Y22)+IF(F134=CONCATENATE(G24,":",J24),Y24)+IF(F132=CONCATENATE(G26,":",J26),Y26)+IF(F134=CONCATENATE(G28,":",J28),Y28)+IF(F134=CONCATENATE(P30,":",S30),Y30)+IF(F134=CONCATENATE(P32,":",S32),Y32)+IF(F134=CONCATENATE(P34,":",S34),Y34)+IF(F134=CONCATENATE(P36,":",S36),Y36)</f>
        <v>0</v>
      </c>
      <c r="H134" s="70"/>
    </row>
    <row r="135" spans="2:8" s="64" customFormat="1" ht="15" x14ac:dyDescent="0.3">
      <c r="B135" s="68"/>
      <c r="C135" s="69"/>
      <c r="D135" s="69"/>
      <c r="E135" s="69"/>
      <c r="F135" s="80" t="s">
        <v>251</v>
      </c>
      <c r="G135" s="79">
        <f>IF(F135=CONCATENATE(G14,":",J14),Y14)+IF(F135=CONCATENATE(G16,":",J16),Y16)+IF(F135=CONCATENATE(G18,":",J18),Y18)+IF(F135=CONCATENATE(G20,":",J20),Y20)+IF(F135=CONCATENATE(G22,":",J22),Y22)+IF(F135=CONCATENATE(G24,":",J24),Y24)+IF(F135=CONCATENATE(G26,":",J26),Y26)+IF(F135=CONCATENATE(G28,":",J28),Y28)+IF(F135=CONCATENATE(P30,":",S30),Y30)+IF(F135=CONCATENATE(P32,":",S32),Y32)+IF(F135=CONCATENATE(P34,":",S34),Y34)+IF(F135=CONCATENATE(P36,":",S36),Y36)</f>
        <v>0</v>
      </c>
      <c r="H135" s="70"/>
    </row>
    <row r="136" spans="2:8" s="64" customFormat="1" ht="15" x14ac:dyDescent="0.3">
      <c r="B136" s="68"/>
      <c r="F136" s="77" t="s">
        <v>314</v>
      </c>
      <c r="G136" s="79">
        <f>IF(F136=CONCATENATE(G14,":",J14),Y14)+IF(F136=CONCATENATE(G16,":",J16),Y16)+IF(F136=CONCATENATE(G18,":",J18),Y18)+IF(F136=CONCATENATE(G20,":",J20),Y20)+IF(F136=CONCATENATE(G22,":",J22),Y22)+IF(F136=CONCATENATE(G24,":",J24),Y24)+IF(F136=CONCATENATE(G26,":",J26),Y26)+IF(F136=CONCATENATE(G28,":",J28),Y28)+IF(F136=CONCATENATE(P30,":",S30),Y30)+IF(F136=CONCATENATE(P32,":",S32),Y32)+IF(F136=CONCATENATE(P34,":",S34),Y34)+IF(F136=CONCATENATE(P36,":",S36),Y36)</f>
        <v>0</v>
      </c>
      <c r="H136" s="70"/>
    </row>
    <row r="137" spans="2:8" s="64" customFormat="1" ht="15" x14ac:dyDescent="0.3">
      <c r="B137" s="68"/>
      <c r="F137" s="77" t="s">
        <v>252</v>
      </c>
      <c r="G137" s="79">
        <f>IF(F137=CONCATENATE(G14,":",J14),Y14)+IF(F137=CONCATENATE(G16,":",J16),Y16)+IF(F137=CONCATENATE(G18,":",J18),Y18)+IF(F137=CONCATENATE(G20,":",J20),Y20)+IF(F137=CONCATENATE(G22,":",J22),Y22)+IF(F137=CONCATENATE(G24,":",J24),Y24)+IF(F137=CONCATENATE(G26,":",J26),Y26)+IF(F137=CONCATENATE(G28,":",J28),Y28)+IF(F137=CONCATENATE(P30,":",S30),Y30)+IF(F137=CONCATENATE(P32,":",S32),Y32)+IF(F137=CONCATENATE(P34,":",S34),Y34)+IF(F137=CONCATENATE(P36,":",S36),Y36)</f>
        <v>0</v>
      </c>
      <c r="H137" s="70"/>
    </row>
    <row r="138" spans="2:8" s="64" customFormat="1" ht="15" x14ac:dyDescent="0.3">
      <c r="B138" s="68"/>
      <c r="F138" s="77" t="s">
        <v>294</v>
      </c>
      <c r="G138" s="79">
        <f>IF(F138=CONCATENATE(G14,":",J14),Y14)+IF(F138=CONCATENATE(G16,":",J16),Y16)+IF(F138=CONCATENATE(G18,":",J18),Y18)+IF(F138=CONCATENATE(G20,":",J20),Y20)+IF(F138=CONCATENATE(G22,":",J22),Y22)+IF(F138=CONCATENATE(G24,":",J24),Y24)+IF(F138=CONCATENATE(G26,":",J26),Y26)+IF(F138=CONCATENATE(G28,":",J28),Y28)+IF(F138=CONCATENATE(P30,":",S30),Y30)+IF(F138=CONCATENATE(P32,":",S32),Y32)+IF(F138=CONCATENATE(P34,":",S34),Y34)+IF(F138=CONCATENATE(P36,":",S36),Y36)</f>
        <v>6</v>
      </c>
      <c r="H138" s="70"/>
    </row>
    <row r="139" spans="2:8" s="64" customFormat="1" ht="15" x14ac:dyDescent="0.3">
      <c r="B139" s="68"/>
      <c r="F139" s="77" t="s">
        <v>315</v>
      </c>
      <c r="G139" s="79">
        <f>IF(F139=CONCATENATE(G14,":",J14),Y14)+IF(F139=CONCATENATE(G16,":",J16),Y16)+IF(F139=CONCATENATE(G18,":",J18),Y18)+IF(F139=CONCATENATE(G20,":",J20),Y20)+IF(F139=CONCATENATE(G22,":",J22),Y22)+IF(F139=CONCATENATE(G24,":",J24),Y24)+IF(F139=CONCATENATE(G26,":",J26),Y26)+IF(F139=CONCATENATE(G28,":",J28),Y28)+IF(F139=CONCATENATE(P30,":",S30),Y30)+IF(F139=CONCATENATE(P32,":",S32),Y32)+IF(F139=CONCATENATE(P34,":",S34),Y34)+IF(F139=CONCATENATE(P36,":",S36),Y36)</f>
        <v>0</v>
      </c>
      <c r="H139" s="70"/>
    </row>
    <row r="140" spans="2:8" s="64" customFormat="1" ht="15" x14ac:dyDescent="0.3">
      <c r="B140" s="68"/>
      <c r="F140" s="77" t="s">
        <v>319</v>
      </c>
      <c r="G140" s="79">
        <f>IF(F140=CONCATENATE(G14,":",J14),Y14)+IF(F140=CONCATENATE(G16,":",J16),Y16)+IF(F140=CONCATENATE(G18,":",J18),Y18)+IF(F140=CONCATENATE(G20,":",J20),Y20)+IF(F140=CONCATENATE(G22,":",J22),Y22)+IF(F140=CONCATENATE(G24,":",J24),Y24)+IF(F140=CONCATENATE(G26,":",J26),Y26)+IF(F140=CONCATENATE(G28,":",J28),Y28)+IF(F140=CONCATENATE(P30,":",S30),Y30)+IF(F140=CONCATENATE(P32,":",S32),Y32)+IF(F140=CONCATENATE(P34,":",S34),Y34)+IF(F140=CONCATENATE(P36,":",S36),Y36)</f>
        <v>0</v>
      </c>
      <c r="H140" s="70"/>
    </row>
    <row r="141" spans="2:8" s="64" customFormat="1" ht="15" x14ac:dyDescent="0.3">
      <c r="B141" s="68"/>
      <c r="F141" s="77" t="s">
        <v>282</v>
      </c>
      <c r="G141" s="79">
        <f>IF(F141=CONCATENATE(G14,":",J14),Y14)+IF(F141=CONCATENATE(G16,":",J16),Y16)+IF(F141=CONCATENATE(G18,":",J18),Y18)+IF(F141=CONCATENATE(G20,":",J20),Y20)+IF(F141=CONCATENATE(G22,":",J22),Y22)+IF(F141=CONCATENATE(G24,":",J24),Y24)+IF(F141=CONCATENATE(G26,":",J26),Y26)+IF(F141=CONCATENATE(G28,":",J28),Y28)+IF(F141=CONCATENATE(P30,":",S30),Y30)+IF(F141=CONCATENATE(P32,":",S32),Y32)+IF(F141=CONCATENATE(P34,":",S34),Y34)+IF(F141=CONCATENATE(P36,":",S36),Y36)</f>
        <v>0</v>
      </c>
      <c r="H141" s="70"/>
    </row>
    <row r="142" spans="2:8" s="64" customFormat="1" ht="15" x14ac:dyDescent="0.3">
      <c r="B142" s="71"/>
      <c r="C142" s="72"/>
      <c r="D142" s="72"/>
      <c r="E142" s="72"/>
      <c r="F142" s="81" t="s">
        <v>283</v>
      </c>
      <c r="G142" s="76">
        <f>IF(F142=CONCATENATE(G14,":",J14),Y14)+IF(F142=CONCATENATE(G16,":",J16),Y16)+IF(F142=CONCATENATE(G18,":",J18),Y18)+IF(F142=CONCATENATE(G20,":",J20),Y20)+IF(F142=CONCATENATE(G22,":",J22),Y22)+IF(F142=CONCATENATE(G24,":",J24),Y24)+IF(F142=CONCATENATE(G26,":",J26),Y26)+IF(F142=CONCATENATE(G28,":",J28),Y28)+IF(F142=CONCATENATE(P30,":",S30),Y30)+IF(F142=CONCATENATE(P32,":",S32),Y32)+IF(F142=CONCATENATE(P34,":",S34),Y34)+IF(F142=CONCATENATE(P36,":",S36),Y36)</f>
        <v>0</v>
      </c>
      <c r="H142" s="73"/>
    </row>
    <row r="143" spans="2:8" s="64" customFormat="1" x14ac:dyDescent="0.3"/>
  </sheetData>
  <mergeCells count="1">
    <mergeCell ref="D4:G4"/>
  </mergeCells>
  <dataValidations count="9">
    <dataValidation type="list" showInputMessage="1" showErrorMessage="1" error="please select from list values" prompt="select product when applicable" sqref="M14 M16 M18 M26 M32 M34 M36 M20 M22 M24 M30 M28">
      <formula1>IF(D14="Customer",Primary,INDIRECT("formdata!A2"))</formula1>
    </dataValidation>
    <dataValidation type="list" showInputMessage="1" showErrorMessage="1" error="please select from list values" prompt="select interaction when applicable" sqref="P14 P34 P32 P26 P18 P16 P36 P20 P22 P24 P30 P28">
      <formula1>IF(D14="Customer",Interaction,INDIRECT("formdata!A2"))</formula1>
    </dataValidation>
    <dataValidation type="list" showInputMessage="1" showErrorMessage="1" error="please select from list values" prompt="select sub-type when applicable" sqref="S14 S34 S32 S18 S26 S16 S36 S20 S22 S24 S30 S28">
      <formula1>IF(D14="Customer",INDIRECT(P14),INDIRECT(G14))</formula1>
    </dataValidation>
    <dataValidation type="list" allowBlank="1" showInputMessage="1" showErrorMessage="1" prompt="select CSA" sqref="D4">
      <formula1>Names</formula1>
    </dataValidation>
    <dataValidation type="date" operator="greaterThan" allowBlank="1" showInputMessage="1" showErrorMessage="1" prompt="enter date" sqref="D6">
      <formula1>42005</formula1>
    </dataValidation>
    <dataValidation type="list" allowBlank="1" showInputMessage="1" showErrorMessage="1" sqref="D5">
      <formula1>Names</formula1>
    </dataValidation>
    <dataValidation type="list" showInputMessage="1" showErrorMessage="1" error="please select from list values" prompt="please select category" sqref="G26 G16 G18 G32 G14 G34 G36 G20 G22 G24 G30 G28">
      <formula1>INDIRECT(D14)</formula1>
    </dataValidation>
    <dataValidation type="list" showInputMessage="1" showErrorMessage="1" sqref="D16 D32 D18 D26 D14 D34 D36 D20 D22 D24 D30 D28">
      <formula1>Utilizations</formula1>
    </dataValidation>
    <dataValidation type="list" showInputMessage="1" showErrorMessage="1" errorTitle="&lt;&lt;SELECTION ERROR&gt;&gt;" error="please select from list values" prompt="select customer when applicable" sqref="J22 J16 J18 J20 J24 J26 J28 J30 J32 J34 J36 J14">
      <formula1>IF(D14="Customer",INDIRECT(G14),IF(D14="Travel",ALL_Customers,INDIRECT("formdata!A2")))</formula1>
    </dataValidation>
  </dataValidations>
  <pageMargins left="0.7" right="0.7" top="0.75" bottom="0.75" header="0.3" footer="0.3"/>
  <pageSetup orientation="portrait" horizontalDpi="4294967293" verticalDpi="4294967293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Y143"/>
  <sheetViews>
    <sheetView zoomScaleNormal="100" workbookViewId="0">
      <selection activeCell="V22" sqref="V22"/>
    </sheetView>
  </sheetViews>
  <sheetFormatPr defaultRowHeight="14.4" x14ac:dyDescent="0.3"/>
  <cols>
    <col min="1" max="1" width="1.77734375" style="3" customWidth="1"/>
    <col min="2" max="2" width="14.77734375" style="3" customWidth="1"/>
    <col min="3" max="3" width="1.77734375" style="3" customWidth="1"/>
    <col min="4" max="4" width="14.77734375" style="3" customWidth="1"/>
    <col min="5" max="5" width="1.77734375" style="3" customWidth="1"/>
    <col min="6" max="6" width="2.77734375" style="3" customWidth="1"/>
    <col min="7" max="7" width="14.77734375" style="3" customWidth="1"/>
    <col min="8" max="8" width="1.77734375" style="3" customWidth="1"/>
    <col min="9" max="9" width="2.77734375" style="3" customWidth="1"/>
    <col min="10" max="10" width="20.77734375" style="3" customWidth="1"/>
    <col min="11" max="11" width="1.77734375" style="3" customWidth="1"/>
    <col min="12" max="12" width="2.77734375" style="3" customWidth="1"/>
    <col min="13" max="13" width="8.77734375" style="3" customWidth="1"/>
    <col min="14" max="14" width="1.77734375" style="3" customWidth="1"/>
    <col min="15" max="15" width="2.77734375" style="3" customWidth="1"/>
    <col min="16" max="16" width="14.77734375" style="3" customWidth="1"/>
    <col min="17" max="17" width="1.77734375" style="3" customWidth="1"/>
    <col min="18" max="18" width="2.77734375" style="3" customWidth="1"/>
    <col min="19" max="19" width="20.77734375" style="3" customWidth="1"/>
    <col min="20" max="20" width="1.77734375" style="3" customWidth="1"/>
    <col min="21" max="21" width="2.77734375" style="3" customWidth="1"/>
    <col min="22" max="22" width="46.77734375" style="3" customWidth="1"/>
    <col min="23" max="23" width="1.77734375" style="3" customWidth="1"/>
    <col min="24" max="24" width="2.77734375" style="3" customWidth="1"/>
    <col min="25" max="25" width="10.77734375" style="3" customWidth="1"/>
    <col min="26" max="26" width="2.77734375" style="3" customWidth="1"/>
    <col min="27" max="16384" width="8.88671875" style="3"/>
  </cols>
  <sheetData>
    <row r="1" spans="2:25" ht="7.95" customHeight="1" x14ac:dyDescent="0.3"/>
    <row r="2" spans="2:25" s="5" customFormat="1" ht="22.05" customHeight="1" x14ac:dyDescent="0.4">
      <c r="B2" s="15" t="s">
        <v>201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2:25" ht="12" customHeight="1" x14ac:dyDescent="0.3"/>
    <row r="4" spans="2:25" s="5" customFormat="1" ht="18" customHeight="1" x14ac:dyDescent="0.35">
      <c r="B4" s="6" t="s">
        <v>0</v>
      </c>
      <c r="D4" s="82" t="s">
        <v>1</v>
      </c>
      <c r="E4" s="83"/>
      <c r="F4" s="83"/>
      <c r="G4" s="84"/>
    </row>
    <row r="5" spans="2:25" s="5" customFormat="1" ht="12" customHeight="1" x14ac:dyDescent="0.3">
      <c r="B5" s="6"/>
    </row>
    <row r="6" spans="2:25" ht="18" customHeight="1" x14ac:dyDescent="0.35">
      <c r="B6" s="6" t="s">
        <v>3</v>
      </c>
      <c r="D6" s="20">
        <f>MONDAY!D6+3</f>
        <v>42306</v>
      </c>
      <c r="G6" s="13" t="str">
        <f>UPPER(TEXT(D6,"DDDD"))</f>
        <v>THURSDAY</v>
      </c>
    </row>
    <row r="7" spans="2:25" ht="12" customHeight="1" x14ac:dyDescent="0.3"/>
    <row r="8" spans="2:25" s="5" customFormat="1" ht="18" customHeight="1" x14ac:dyDescent="0.3">
      <c r="B8" s="6" t="s">
        <v>27</v>
      </c>
      <c r="D8" s="16">
        <f>SUM(Y14:Y34)</f>
        <v>5</v>
      </c>
      <c r="P8" s="6"/>
      <c r="V8" s="6"/>
      <c r="Y8" s="7"/>
    </row>
    <row r="9" spans="2:25" s="5" customFormat="1" ht="12" customHeight="1" x14ac:dyDescent="0.3">
      <c r="B9" s="6"/>
      <c r="P9" s="6"/>
      <c r="V9" s="6"/>
      <c r="Y9" s="7"/>
    </row>
    <row r="10" spans="2:25" ht="42" customHeight="1" x14ac:dyDescent="0.3"/>
    <row r="11" spans="2:25" ht="4.9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</row>
    <row r="12" spans="2:25" s="11" customFormat="1" ht="15.6" x14ac:dyDescent="0.3">
      <c r="B12" s="9" t="s">
        <v>4</v>
      </c>
      <c r="C12" s="9"/>
      <c r="D12" s="9" t="s">
        <v>5</v>
      </c>
      <c r="E12" s="9"/>
      <c r="F12" s="9"/>
      <c r="G12" s="10" t="s">
        <v>10</v>
      </c>
      <c r="H12" s="9"/>
      <c r="I12" s="9"/>
      <c r="J12" s="9" t="s">
        <v>11</v>
      </c>
      <c r="K12" s="9"/>
      <c r="L12" s="9"/>
      <c r="M12" s="9" t="s">
        <v>23</v>
      </c>
      <c r="N12" s="9"/>
      <c r="P12" s="10" t="s">
        <v>28</v>
      </c>
      <c r="Q12" s="9"/>
      <c r="R12" s="9"/>
      <c r="S12" s="9" t="s">
        <v>29</v>
      </c>
      <c r="T12" s="9"/>
      <c r="V12" s="10" t="s">
        <v>92</v>
      </c>
      <c r="W12" s="9"/>
      <c r="Y12" s="9" t="s">
        <v>12</v>
      </c>
    </row>
    <row r="13" spans="2:25" ht="4.9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2:25" s="14" customFormat="1" x14ac:dyDescent="0.3">
      <c r="B14" s="26">
        <v>1</v>
      </c>
      <c r="D14" s="26" t="s">
        <v>6</v>
      </c>
      <c r="E14" s="26"/>
      <c r="F14" s="26"/>
      <c r="G14" s="26" t="s">
        <v>17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80</v>
      </c>
      <c r="T14" s="26"/>
      <c r="U14" s="26"/>
      <c r="V14" s="58"/>
      <c r="W14" s="26"/>
      <c r="X14" s="26"/>
      <c r="Y14" s="29">
        <v>1</v>
      </c>
    </row>
    <row r="15" spans="2:25" ht="4.95" customHeight="1" x14ac:dyDescent="0.3">
      <c r="B15" s="27"/>
      <c r="C15" s="12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60"/>
      <c r="W15" s="27"/>
      <c r="X15" s="27"/>
      <c r="Y15" s="30"/>
    </row>
    <row r="16" spans="2:25" s="14" customFormat="1" x14ac:dyDescent="0.3">
      <c r="B16" s="26">
        <v>2</v>
      </c>
      <c r="D16" s="26" t="s">
        <v>7</v>
      </c>
      <c r="E16" s="26"/>
      <c r="F16" s="26"/>
      <c r="G16" s="26" t="s">
        <v>35</v>
      </c>
      <c r="H16" s="26"/>
      <c r="I16" s="26"/>
      <c r="J16" s="26" t="s">
        <v>293</v>
      </c>
      <c r="K16" s="26"/>
      <c r="L16" s="26"/>
      <c r="M16" s="26" t="s">
        <v>204</v>
      </c>
      <c r="N16" s="26"/>
      <c r="O16" s="26"/>
      <c r="P16" s="26" t="s">
        <v>23</v>
      </c>
      <c r="Q16" s="26"/>
      <c r="R16" s="26"/>
      <c r="S16" s="26" t="s">
        <v>181</v>
      </c>
      <c r="T16" s="26"/>
      <c r="U16" s="26"/>
      <c r="V16" s="58" t="s">
        <v>334</v>
      </c>
      <c r="W16" s="26"/>
      <c r="X16" s="26"/>
      <c r="Y16" s="29">
        <v>1</v>
      </c>
    </row>
    <row r="17" spans="2:25" ht="4.95" customHeight="1" x14ac:dyDescent="0.3">
      <c r="B17" s="27"/>
      <c r="C17" s="12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60"/>
      <c r="W17" s="27"/>
      <c r="X17" s="27"/>
      <c r="Y17" s="30"/>
    </row>
    <row r="18" spans="2:25" s="14" customFormat="1" x14ac:dyDescent="0.3">
      <c r="B18" s="26">
        <v>3</v>
      </c>
      <c r="D18" s="26" t="s">
        <v>7</v>
      </c>
      <c r="E18" s="26"/>
      <c r="F18" s="26"/>
      <c r="G18" s="26" t="s">
        <v>35</v>
      </c>
      <c r="H18" s="26"/>
      <c r="I18" s="26"/>
      <c r="J18" s="26" t="s">
        <v>293</v>
      </c>
      <c r="K18" s="26"/>
      <c r="L18" s="26"/>
      <c r="M18" s="26" t="s">
        <v>204</v>
      </c>
      <c r="N18" s="26"/>
      <c r="O18" s="26"/>
      <c r="P18" s="26" t="s">
        <v>24</v>
      </c>
      <c r="Q18" s="26"/>
      <c r="R18" s="26"/>
      <c r="S18" s="26" t="s">
        <v>196</v>
      </c>
      <c r="T18" s="26"/>
      <c r="U18" s="26"/>
      <c r="V18" s="58" t="s">
        <v>328</v>
      </c>
      <c r="W18" s="26"/>
      <c r="X18" s="26"/>
      <c r="Y18" s="29">
        <v>1</v>
      </c>
    </row>
    <row r="19" spans="2:25" ht="4.95" customHeight="1" x14ac:dyDescent="0.3">
      <c r="B19" s="27"/>
      <c r="C19" s="12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60"/>
      <c r="W19" s="27"/>
      <c r="X19" s="27"/>
      <c r="Y19" s="30"/>
    </row>
    <row r="20" spans="2:25" s="14" customFormat="1" x14ac:dyDescent="0.3">
      <c r="B20" s="26">
        <v>4</v>
      </c>
      <c r="D20" s="26" t="s">
        <v>6</v>
      </c>
      <c r="E20" s="26"/>
      <c r="F20" s="26"/>
      <c r="G20" s="26" t="s">
        <v>19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108</v>
      </c>
      <c r="T20" s="26"/>
      <c r="U20" s="26"/>
      <c r="V20" s="58" t="s">
        <v>335</v>
      </c>
      <c r="W20" s="26"/>
      <c r="X20" s="26"/>
      <c r="Y20" s="29">
        <v>0.5</v>
      </c>
    </row>
    <row r="21" spans="2:25" ht="4.95" customHeight="1" x14ac:dyDescent="0.3">
      <c r="B21" s="27"/>
      <c r="C21" s="12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60"/>
      <c r="W21" s="27"/>
      <c r="X21" s="27"/>
      <c r="Y21" s="30"/>
    </row>
    <row r="22" spans="2:25" s="14" customFormat="1" x14ac:dyDescent="0.3">
      <c r="B22" s="26">
        <v>5</v>
      </c>
      <c r="D22" s="26" t="s">
        <v>7</v>
      </c>
      <c r="E22" s="26"/>
      <c r="F22" s="26"/>
      <c r="G22" s="26" t="s">
        <v>35</v>
      </c>
      <c r="H22" s="26"/>
      <c r="I22" s="26"/>
      <c r="J22" s="26" t="s">
        <v>293</v>
      </c>
      <c r="K22" s="26"/>
      <c r="L22" s="26"/>
      <c r="M22" s="26" t="s">
        <v>202</v>
      </c>
      <c r="N22" s="26"/>
      <c r="O22" s="26"/>
      <c r="P22" s="26" t="s">
        <v>23</v>
      </c>
      <c r="Q22" s="26"/>
      <c r="R22" s="26"/>
      <c r="S22" s="26" t="s">
        <v>181</v>
      </c>
      <c r="T22" s="26"/>
      <c r="U22" s="26"/>
      <c r="V22" s="58" t="s">
        <v>337</v>
      </c>
      <c r="W22" s="26"/>
      <c r="X22" s="26"/>
      <c r="Y22" s="29">
        <v>1.5</v>
      </c>
    </row>
    <row r="23" spans="2:25" ht="4.95" customHeight="1" x14ac:dyDescent="0.3">
      <c r="B23" s="27"/>
      <c r="C23" s="12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60"/>
      <c r="W23" s="27"/>
      <c r="X23" s="27"/>
      <c r="Y23" s="30"/>
    </row>
    <row r="24" spans="2:25" s="14" customFormat="1" x14ac:dyDescent="0.3">
      <c r="B24" s="26">
        <v>6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58"/>
      <c r="W24" s="26"/>
      <c r="X24" s="26"/>
      <c r="Y24" s="29">
        <v>0</v>
      </c>
    </row>
    <row r="25" spans="2:25" ht="4.95" customHeight="1" x14ac:dyDescent="0.3">
      <c r="B25" s="27"/>
      <c r="C25" s="12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60"/>
      <c r="W25" s="27"/>
      <c r="X25" s="27"/>
      <c r="Y25" s="30"/>
    </row>
    <row r="26" spans="2:25" s="14" customFormat="1" x14ac:dyDescent="0.3">
      <c r="B26" s="26">
        <v>7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58"/>
      <c r="W26" s="26"/>
      <c r="X26" s="26"/>
      <c r="Y26" s="29">
        <v>0</v>
      </c>
    </row>
    <row r="27" spans="2:25" ht="4.95" customHeight="1" x14ac:dyDescent="0.3">
      <c r="B27" s="27"/>
      <c r="C27" s="12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60"/>
      <c r="W27" s="27"/>
      <c r="X27" s="27"/>
      <c r="Y27" s="30"/>
    </row>
    <row r="28" spans="2:25" s="14" customFormat="1" x14ac:dyDescent="0.3">
      <c r="B28" s="26">
        <v>8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58"/>
      <c r="W28" s="26"/>
      <c r="X28" s="26"/>
      <c r="Y28" s="29">
        <v>0</v>
      </c>
    </row>
    <row r="29" spans="2:25" ht="4.95" customHeight="1" x14ac:dyDescent="0.3">
      <c r="B29" s="27"/>
      <c r="C29" s="12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60"/>
      <c r="W29" s="27"/>
      <c r="X29" s="27"/>
      <c r="Y29" s="30"/>
    </row>
    <row r="30" spans="2:25" s="14" customFormat="1" x14ac:dyDescent="0.3">
      <c r="B30" s="26">
        <v>9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58"/>
      <c r="W30" s="26"/>
      <c r="X30" s="26"/>
      <c r="Y30" s="29">
        <v>0</v>
      </c>
    </row>
    <row r="31" spans="2:25" ht="4.95" customHeight="1" x14ac:dyDescent="0.3">
      <c r="B31" s="27"/>
      <c r="C31" s="12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60"/>
      <c r="W31" s="27"/>
      <c r="X31" s="27"/>
      <c r="Y31" s="30"/>
    </row>
    <row r="32" spans="2:25" s="14" customFormat="1" x14ac:dyDescent="0.3">
      <c r="B32" s="26">
        <v>10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58"/>
      <c r="W32" s="26"/>
      <c r="X32" s="26"/>
      <c r="Y32" s="29">
        <v>0</v>
      </c>
    </row>
    <row r="33" spans="2:25" ht="4.95" customHeight="1" x14ac:dyDescent="0.3">
      <c r="B33" s="27"/>
      <c r="C33" s="12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60"/>
      <c r="W33" s="27"/>
      <c r="X33" s="27"/>
      <c r="Y33" s="30"/>
    </row>
    <row r="34" spans="2:25" s="14" customFormat="1" x14ac:dyDescent="0.3">
      <c r="B34" s="26">
        <v>11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58"/>
      <c r="W34" s="26"/>
      <c r="X34" s="26"/>
      <c r="Y34" s="29">
        <v>0</v>
      </c>
    </row>
    <row r="35" spans="2:25" ht="4.95" customHeight="1" x14ac:dyDescent="0.3">
      <c r="B35" s="27"/>
      <c r="C35" s="12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60"/>
      <c r="W35" s="27"/>
      <c r="X35" s="27"/>
      <c r="Y35" s="30"/>
    </row>
    <row r="36" spans="2:25" s="14" customFormat="1" x14ac:dyDescent="0.3">
      <c r="B36" s="26">
        <v>12</v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58"/>
      <c r="W36" s="26"/>
      <c r="X36" s="26"/>
      <c r="Y36" s="29">
        <v>0</v>
      </c>
    </row>
    <row r="37" spans="2:25" ht="4.95" customHeight="1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2:25" ht="4.95" customHeight="1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</row>
    <row r="39" spans="2:25" ht="37.950000000000003" customHeight="1" x14ac:dyDescent="0.3"/>
    <row r="45" spans="2:25" x14ac:dyDescent="0.3">
      <c r="B45" s="19" t="s">
        <v>210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ht="4.95" customHeight="1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2:25" ht="15" x14ac:dyDescent="0.3">
      <c r="B47" s="31"/>
      <c r="C47" s="43" t="s">
        <v>204</v>
      </c>
      <c r="D47" s="74">
        <f>IF(M14=C47,Y14) + IF(M16=C47,Y16) + IF(M18=C47,Y18) + IF(M20=C47,Y20) + IF(M22=C47,Y22) + IF(M24=C47,Y24) + IF(M26=C47,Y26) + IF(M28=C47,Y28) + IF(M30=C47,Y30) + IF(M32=C47,Y32) + IF(M34=C47,Y34) + IF(M36=C47,Y36)</f>
        <v>2</v>
      </c>
      <c r="E47" s="33"/>
      <c r="I47" s="18"/>
    </row>
    <row r="48" spans="2:25" ht="15" x14ac:dyDescent="0.3">
      <c r="B48" s="34"/>
      <c r="C48" s="44" t="s">
        <v>202</v>
      </c>
      <c r="D48" s="75">
        <f>IF(M14=C48,Y14) + IF(M16=C48,Y16) + IF(M18=C48,Y18) + IF(M20=C48,Y20) + IF(M22=C48,Y22) + IF(M24=C48,Y24) + IF(M26=C48,Y26) + IF(M28=C48,Y28) + IF(M30=C48,Y30) + IF(M32=C48,Y32) + IF(M34=C48,Y34) + IF(M36=C48,Y36)</f>
        <v>1.5</v>
      </c>
      <c r="E48" s="36"/>
      <c r="I48" s="18"/>
    </row>
    <row r="49" spans="2:9" ht="15" x14ac:dyDescent="0.3">
      <c r="B49" s="34"/>
      <c r="C49" s="44" t="s">
        <v>203</v>
      </c>
      <c r="D49" s="75">
        <f>IF(M14=C49,Y14) + IF(M16=C49,Y16) + IF(M18=C49,Y18) + IF(M20=C49,Y20) + IF(M22=C49,Y22) + IF(M24=C49,Y24) + IF(M26=C49,Y26) + IF(M28=C49,Y28) + IF(M30=C49,Y30) + IF(M32=C49,Y32) + IF(M34=C49,Y34) + IF(M36=C49,Y36)</f>
        <v>0</v>
      </c>
      <c r="E49" s="36"/>
      <c r="I49" s="18"/>
    </row>
    <row r="50" spans="2:9" ht="15" x14ac:dyDescent="0.3">
      <c r="B50" s="34"/>
      <c r="C50" s="44" t="s">
        <v>162</v>
      </c>
      <c r="D50" s="75">
        <f>IF(M14=C50,Y14) + IF(M16=C50,Y16) + IF(M18=C50,Y18) + IF(M20=C50,Y20) + IF(M22=C50,Y22) + IF(M24=C50,Y24) + IF(M26=C50,Y26) + IF(M28=C50,Y28) + IF(M30=C50,Y30) + IF(M32=C50,Y32) + IF(M34=C50,Y34) + IF(M36=C50,Y36)</f>
        <v>0</v>
      </c>
      <c r="E50" s="36"/>
      <c r="I50" s="18"/>
    </row>
    <row r="51" spans="2:9" ht="15" x14ac:dyDescent="0.3">
      <c r="B51" s="34"/>
      <c r="C51" s="44" t="s">
        <v>209</v>
      </c>
      <c r="D51" s="75">
        <f>IF(M14=C51,Y14) + IF(M16=C51,Y16) + IF(M18=C51,Y18) + IF(M20=C51,Y20) + IF(M22=C51,Y22) + IF(M24=C51,Y24) + IF(M26=C51,Y26) + IF(M28=C51,Y28) + IF(M30=C51,Y30) + IF(M32=C51,Y32) + IF(M34=C51,Y34) + IF(M36=C51,Y36)</f>
        <v>0</v>
      </c>
      <c r="E51" s="36"/>
    </row>
    <row r="52" spans="2:9" ht="15" x14ac:dyDescent="0.3">
      <c r="B52" s="34"/>
      <c r="C52" s="44" t="s">
        <v>127</v>
      </c>
      <c r="D52" s="75">
        <f>IF(M14=C52,Y14) + IF(M16=C52,Y16) + IF(M18=C52,Y18) + IF(M20=C52,Y20) + IF(M22=C52,Y22) + IF(M24=C52,Y24) + IF(M26=C52,Y26) + IF(M28=C52,Y28) + IF(M30=C52,Y30) + IF(M32=C52,Y32) + IF(M34=C52,Y34) + IF(M36=C52,Y36)</f>
        <v>0</v>
      </c>
      <c r="E52" s="36"/>
    </row>
    <row r="53" spans="2:9" ht="15" x14ac:dyDescent="0.3">
      <c r="B53" s="34"/>
      <c r="C53" s="44" t="s">
        <v>206</v>
      </c>
      <c r="D53" s="75">
        <f>IF(M14=C53,Y14) + IF(M16=C53,Y16) + IF(M18=C53,Y18) + IF(M20=C53,Y20) + IF(M22=C53,Y22) + IF(M24=C53,Y24) + IF(M26=C53,Y26) + IF(M28=C53,Y28) + IF(M30=C53,Y30) + IF(M32=C53,Y32) + IF(M34=C53,Y34) + IF(M36=C53,Y36)</f>
        <v>0</v>
      </c>
      <c r="E53" s="36"/>
    </row>
    <row r="54" spans="2:9" ht="15" x14ac:dyDescent="0.3">
      <c r="B54" s="37"/>
      <c r="C54" s="45" t="s">
        <v>207</v>
      </c>
      <c r="D54" s="76">
        <f>IF(M14=C54,Y14) + IF(M16=C54,Y16) + IF(M18=C54,Y18) + IF(M20=C54,Y20) + IF(M22=C54,Y22) + IF(M24=C54,Y24) + IF(M26=C54,Y26) + IF(M28=C54,Y28) + IF(M30=C54,Y30) + IF(M32=C54,Y32) + IF(M34=C54,Y34) + IF(M36=C54,Y36)</f>
        <v>0</v>
      </c>
      <c r="E54" s="39"/>
    </row>
    <row r="57" spans="2:9" ht="15" x14ac:dyDescent="0.3">
      <c r="B57" s="31"/>
      <c r="C57" s="43" t="s">
        <v>7</v>
      </c>
      <c r="D57" s="74">
        <f>IF(D14=C57,Y14) + IF(D16=C57,Y16) + IF(D18=C57,Y18) + IF(D20=C57,Y20) + IF(D22=C57,Y22) + IF(D24=C57,Y24) + IF(D26=C57,Y26) + IF(D28=C57,Y28) + IF(D30=C57,Y30) + IF(D32=C57,Y32) + IF(D34=C57,Y34) + IF(D36=C57,Y36)</f>
        <v>3.5</v>
      </c>
      <c r="E57" s="33"/>
    </row>
    <row r="58" spans="2:9" ht="15" x14ac:dyDescent="0.3">
      <c r="B58" s="34"/>
      <c r="C58" s="44" t="s">
        <v>6</v>
      </c>
      <c r="D58" s="75">
        <f>IF(D14=C58,Y14) + IF(D16=C58,Y16) + IF(D18=C58,Y18) + IF(D20=C58,Y20) + IF(D22=C58,Y22) + IF(D24=C58,Y24) + IF(D26=C58,Y26) + IF(D28=C58,Y28) + IF(D30=C58,Y30) + IF(D32=C58,Y32) + IF(D34=C58,Y34) + IF(D36=C58,Y36)</f>
        <v>1.5</v>
      </c>
      <c r="E58" s="36"/>
    </row>
    <row r="59" spans="2:9" ht="15" x14ac:dyDescent="0.3">
      <c r="B59" s="34"/>
      <c r="C59" s="44" t="s">
        <v>9</v>
      </c>
      <c r="D59" s="75">
        <f>IF(D14=C59,Y14) + IF(D16=C59,Y16) + IF(D18=C59,Y18) + IF(D20=C59,Y20) + IF(D22=C59,Y22) + IF(D24=C59,Y24) + IF(D26=C59,Y26) + IF(D28=C59,Y28) + IF(D30=C59,Y30) + IF(D32=C59,Y32) + IF(D34=C59,Y34) + IF(D36=C59,Y36)</f>
        <v>0</v>
      </c>
      <c r="E59" s="36"/>
    </row>
    <row r="60" spans="2:9" ht="15" x14ac:dyDescent="0.3">
      <c r="B60" s="37"/>
      <c r="C60" s="45" t="s">
        <v>8</v>
      </c>
      <c r="D60" s="76">
        <f>IF(D14=C60,Y14) + IF(D16=C60,Y16) + IF(D18=C60,Y18) + IF(D20=C60,Y20) + IF(D22=C60,Y22) + IF(D24=C60,Y24) + IF(D26=C60,Y26) + IF(D28=C60,Y28) + IF(D30=C60,Y30) + IF(D32=C60,Y32) + IF(D34=C60,Y34) + IF(D36=C60,Y36)</f>
        <v>0</v>
      </c>
      <c r="E60" s="39"/>
    </row>
    <row r="63" spans="2:9" ht="15" x14ac:dyDescent="0.3">
      <c r="B63" s="31"/>
      <c r="C63" s="32"/>
      <c r="D63" s="32"/>
      <c r="E63" s="32"/>
      <c r="F63" s="40" t="s">
        <v>253</v>
      </c>
      <c r="G63" s="74">
        <f>IF(F63=CONCATENATE(P14,":",S14),Y14)+IF(F63=CONCATENATE(P16,":",S16),Y16)+IF(F63=CONCATENATE(P18,":",S18),Y18)+IF(F63=CONCATENATE(P20,":",S20),Y20)+IF(F63=CONCATENATE(P22,":",S22),Y22)+IF(F63=CONCATENATE(P24,":",S24),Y24)+IF(F63=CONCATENATE(P26,":",S26),Y26)+IF(F63=CONCATENATE(P28,":",S28),Y28)+IF(F63=CONCATENATE(P30,":",S30),Y30)+IF(F63=CONCATENATE(P32,":",S32),Y32)+IF(F63=CONCATENATE(P34,":",S34),Y34)+IF(F63=CONCATENATE(P36,":",S36),Y36)+IF(F63=CONCATENATE(P36,":",S36),Y36)</f>
        <v>0</v>
      </c>
      <c r="H63" s="33"/>
    </row>
    <row r="64" spans="2:9" ht="15" x14ac:dyDescent="0.3">
      <c r="B64" s="34"/>
      <c r="C64" s="35"/>
      <c r="D64" s="35"/>
      <c r="E64" s="35"/>
      <c r="F64" s="41" t="s">
        <v>254</v>
      </c>
      <c r="G64" s="75">
        <f>IF(F64=CONCATENATE(P14,":",S14),Y14)+IF(F64=CONCATENATE(P16,":",S16),Y16)+IF(F64=CONCATENATE(P18,":",S18),Y18)+IF(F64=CONCATENATE(P20,":",S20),Y20)+IF(F64=CONCATENATE(P22,":",S22),Y22)+IF(F64=CONCATENATE(P24,":",S24),Y24)+IF(F64=CONCATENATE(P26,":",S26),Y26)+IF(F64=CONCATENATE(P28,":",S28),Y28)+IF(F64=CONCATENATE(P30,":",S30),Y30)+IF(F64=CONCATENATE(P32,":",S32),Y32)+IF(F64=CONCATENATE(P34,":",S34),Y34)+IF(F64=CONCATENATE(P36,":",S36),Y36)+IF(F64=CONCATENATE(P36,":",S36),Y36)</f>
        <v>0</v>
      </c>
      <c r="H64" s="36"/>
    </row>
    <row r="65" spans="2:8" ht="15" x14ac:dyDescent="0.3">
      <c r="B65" s="34"/>
      <c r="C65" s="35"/>
      <c r="D65" s="35"/>
      <c r="E65" s="35"/>
      <c r="F65" s="41" t="s">
        <v>255</v>
      </c>
      <c r="G65" s="75">
        <f>IF(F65=CONCATENATE(P14,":",S14),Y14)+IF(F65=CONCATENATE(P16,":",S16),Y16)+IF(F65=CONCATENATE(P18,":",S18),Y18)+IF(F65=CONCATENATE(P20,":",S20),Y20)+IF(F65=CONCATENATE(P22,":",S22),Y22)+IF(F65=CONCATENATE(P24,":",S24),Y24)+IF(F65=CONCATENATE(P26,":",S26),Y26)+IF(F65=CONCATENATE(P28,":",S28),Y28)+IF(F65=CONCATENATE(P30,":",S30),Y30)+IF(F65=CONCATENATE(P32,":",S32),Y32)+IF(F65=CONCATENATE(P34,":",S34),Y34)+IF(F65=CONCATENATE(P36,":",S36),Y36)+IF(F65=CONCATENATE(P36,":",S36),Y36)</f>
        <v>0</v>
      </c>
      <c r="H65" s="36"/>
    </row>
    <row r="66" spans="2:8" ht="15" x14ac:dyDescent="0.3">
      <c r="B66" s="34"/>
      <c r="C66" s="35"/>
      <c r="D66" s="35"/>
      <c r="E66" s="35"/>
      <c r="F66" s="41" t="s">
        <v>297</v>
      </c>
      <c r="G66" s="75">
        <f>IF(F66=CONCATENATE(P14,":",S14),Y14)+IF(F66=CONCATENATE(P16,":",S16),Y16)+IF(F66=CONCATENATE(P18,":",S18),Y18)+IF(F66=CONCATENATE(P20,":",S20),Y20)+IF(F66=CONCATENATE(P22,":",S22),Y22)+IF(F66=CONCATENATE(P24,":",S24),Y24)+IF(F66=CONCATENATE(P26,":",S26),Y26)+IF(F66=CONCATENATE(P28,":",S28),Y28)+IF(F66=CONCATENATE(P30,":",S30),Y30)+IF(F66=CONCATENATE(P32,":",S32),Y32)+IF(F66=CONCATENATE(P34,":",S34),Y34)+IF(F66=CONCATENATE(P36,":",S36),Y36)+IF(F66=CONCATENATE(P36,":",S36),Y36)</f>
        <v>0</v>
      </c>
      <c r="H66" s="36"/>
    </row>
    <row r="67" spans="2:8" s="64" customFormat="1" ht="15" x14ac:dyDescent="0.3">
      <c r="B67" s="68"/>
      <c r="C67" s="69"/>
      <c r="D67" s="69"/>
      <c r="E67" s="69"/>
      <c r="F67" s="41" t="s">
        <v>256</v>
      </c>
      <c r="G67" s="75">
        <f>IF(F67=CONCATENATE(P14,":",S14),Y14)+IF(F67=CONCATENATE(P16,":",S16),Y16)+IF(F67=CONCATENATE(P18,":",S18),Y18)+IF(F67=CONCATENATE(P20,":",S20),Y20)+IF(F67=CONCATENATE(P22,":",S22),Y22)+IF(F67=CONCATENATE(P24,":",S24),Y24)+IF(F67=CONCATENATE(P26,":",S26),Y26)+IF(F67=CONCATENATE(P28,":",S28),Y28)+IF(F67=CONCATENATE(P30,":",S30),Y30)+IF(F67=CONCATENATE(P32,":",S32),Y32)+IF(F67=CONCATENATE(P34,":",S34),Y34)+IF(F67=CONCATENATE(P36,":",S36),Y36)+IF(F67=CONCATENATE(P87,":",S38),Y38)</f>
        <v>0</v>
      </c>
      <c r="H67" s="70"/>
    </row>
    <row r="68" spans="2:8" ht="15" x14ac:dyDescent="0.3">
      <c r="B68" s="34"/>
      <c r="C68" s="35"/>
      <c r="D68" s="35"/>
      <c r="E68" s="35"/>
      <c r="F68" s="41" t="s">
        <v>257</v>
      </c>
      <c r="G68" s="75">
        <f>IF(F68=CONCATENATE(P14,":",S14),Y14)+IF(F68=CONCATENATE(P16,":",S16),Y16)+IF(F68=CONCATENATE(P18,":",S18),Y18)+IF(F68=CONCATENATE(P20,":",S20),Y20)+IF(F68=CONCATENATE(P22,":",S22),Y22)+IF(F68=CONCATENATE(P24,":",S24),Y24)+IF(F68=CONCATENATE(P26,":",S26),Y26)+IF(F68=CONCATENATE(P28,":",S28),Y28)+IF(F68=CONCATENATE(P30,":",S30),Y30)+IF(F68=CONCATENATE(P32,":",S32),Y32)+IF(F68=CONCATENATE(P34,":",S34),Y34)+IF(F68=CONCATENATE(P36,":",S36),Y36)+IF(F68=CONCATENATE(P36,":",S36),Y36)</f>
        <v>0</v>
      </c>
      <c r="H68" s="36"/>
    </row>
    <row r="69" spans="2:8" ht="15" x14ac:dyDescent="0.3">
      <c r="B69" s="34"/>
      <c r="C69" s="35"/>
      <c r="D69" s="35"/>
      <c r="E69" s="35"/>
      <c r="F69" s="41" t="s">
        <v>258</v>
      </c>
      <c r="G69" s="75">
        <f>IF(F69=CONCATENATE(P14,":",S14),Y14)+IF(F69=CONCATENATE(P16,":",S16),Y16)+IF(F69=CONCATENATE(P18,":",S18),Y18)+IF(F69=CONCATENATE(P20,":",S20),Y20)+IF(F69=CONCATENATE(P22,":",S22),Y22)+IF(F69=CONCATENATE(P24,":",S24),Y24)+IF(F69=CONCATENATE(P26,":",S26),Y26)+IF(F69=CONCATENATE(P28,":",S28),Y28)+IF(F69=CONCATENATE(P30,":",S30),Y30)+IF(F69=CONCATENATE(P32,":",S32),Y32)+IF(F69=CONCATENATE(P34,":",S34),Y34)+IF(F69=CONCATENATE(P36,":",S36),Y36)+IF(F69=CONCATENATE(P36,":",S36),Y36)</f>
        <v>0</v>
      </c>
      <c r="H69" s="36"/>
    </row>
    <row r="70" spans="2:8" ht="15" x14ac:dyDescent="0.3">
      <c r="B70" s="34"/>
      <c r="C70" s="35"/>
      <c r="D70" s="35"/>
      <c r="E70" s="35"/>
      <c r="F70" s="41" t="s">
        <v>259</v>
      </c>
      <c r="G70" s="75">
        <f>IF(F70=CONCATENATE(P14,":",S14),Y14)+IF(F70=CONCATENATE(P16,":",S16),Y16)+IF(F70=CONCATENATE(P18,":",S18),Y18)+IF(F70=CONCATENATE(P20,":",S20),Y20)+IF(F70=CONCATENATE(P22,":",S22),Y22)+IF(F70=CONCATENATE(P24,":",S24),Y24)+IF(F70=CONCATENATE(P26,":",S26),Y26)+IF(F70=CONCATENATE(P28,":",S28),Y28)+IF(F70=CONCATENATE(P30,":",S30),Y30)+IF(F70=CONCATENATE(P32,":",S32),Y32)+IF(F70=CONCATENATE(P34,":",S34),Y34)+IF(F70=CONCATENATE(P36,":",S36),Y36)+IF(F70=CONCATENATE(P36,":",S36),Y36)</f>
        <v>0</v>
      </c>
      <c r="H70" s="36"/>
    </row>
    <row r="71" spans="2:8" ht="15" x14ac:dyDescent="0.3">
      <c r="B71" s="34"/>
      <c r="C71" s="35"/>
      <c r="D71" s="35"/>
      <c r="E71" s="35"/>
      <c r="F71" s="41" t="s">
        <v>260</v>
      </c>
      <c r="G71" s="75">
        <f>IF(F71=CONCATENATE(P14,":",S14),Y14)+IF(F71=CONCATENATE(P16,":",S16),Y16)+IF(F71=CONCATENATE(P18,":",S18),Y18)+IF(F71=CONCATENATE(P20,":",S20),Y20)+IF(F71=CONCATENATE(P22,":",S22),Y22)+IF(F71=CONCATENATE(P24,":",S24),Y24)+IF(F71=CONCATENATE(P26,":",S26),Y26)+IF(F71=CONCATENATE(P28,":",S28),Y28)+IF(F71=CONCATENATE(P30,":",S30),Y30)+IF(F71=CONCATENATE(P32,":",S32),Y32)+IF(F71=CONCATENATE(P34,":",S34),Y34)+IF(F71=CONCATENATE(P36,":",S36),Y36)+IF(F71=CONCATENATE(P36,":",S36),Y36)</f>
        <v>0</v>
      </c>
      <c r="H71" s="36"/>
    </row>
    <row r="72" spans="2:8" ht="15" x14ac:dyDescent="0.3">
      <c r="B72" s="34"/>
      <c r="C72" s="35"/>
      <c r="D72" s="35"/>
      <c r="E72" s="35"/>
      <c r="F72" s="41" t="s">
        <v>261</v>
      </c>
      <c r="G72" s="75">
        <f>IF(F72=CONCATENATE(P14,":",S14),Y14)+IF(F72=CONCATENATE(P16,":",S16),Y16)+IF(F72=CONCATENATE(P18,":",S18),Y18)+IF(F72=CONCATENATE(P20,":",S20),Y20)+IF(F72=CONCATENATE(P22,":",S22),Y22)+IF(F72=CONCATENATE(P24,":",S24),Y24)+IF(F72=CONCATENATE(P26,":",S26),Y26)+IF(F72=CONCATENATE(P28,":",S28),Y28)+IF(F72=CONCATENATE(P30,":",S30),Y30)+IF(F72=CONCATENATE(P32,":",S32),Y32)+IF(F72=CONCATENATE(P34,":",S34),Y34)+IF(F72=CONCATENATE(P36,":",S36),Y36)+IF(F72=CONCATENATE(P36,":",S36),Y36)</f>
        <v>0</v>
      </c>
      <c r="H72" s="36"/>
    </row>
    <row r="73" spans="2:8" ht="15" x14ac:dyDescent="0.3">
      <c r="B73" s="34"/>
      <c r="C73" s="35"/>
      <c r="D73" s="35"/>
      <c r="E73" s="35"/>
      <c r="F73" s="41" t="s">
        <v>262</v>
      </c>
      <c r="G73" s="75">
        <f>IF(F73=CONCATENATE(P14,":",S14),Y14)+IF(F73=CONCATENATE(P16,":",S16),Y16)+IF(F73=CONCATENATE(P18,":",S18),Y18)+IF(F73=CONCATENATE(P20,":",S20),Y20)+IF(F73=CONCATENATE(P22,":",S22),Y22)+IF(F73=CONCATENATE(P24,":",S24),Y24)+IF(F73=CONCATENATE(P26,":",S26),Y26)+IF(F73=CONCATENATE(P28,":",S28),Y28)+IF(F73=CONCATENATE(P30,":",S30),Y30)+IF(F73=CONCATENATE(P32,":",S32),Y32)+IF(F73=CONCATENATE(P34,":",S34),Y34)+IF(F73=CONCATENATE(P36,":",S36),Y36)+IF(F73=CONCATENATE(P36,":",S36),Y36)</f>
        <v>1</v>
      </c>
      <c r="H73" s="36"/>
    </row>
    <row r="74" spans="2:8" ht="15" x14ac:dyDescent="0.3">
      <c r="B74" s="34"/>
      <c r="C74" s="35"/>
      <c r="D74" s="35"/>
      <c r="E74" s="35"/>
      <c r="F74" s="41" t="s">
        <v>263</v>
      </c>
      <c r="G74" s="75">
        <f>IF(F74=CONCATENATE(P14,":",S14),Y14)+IF(F74=CONCATENATE(P16,":",S16),Y16)+IF(F74=CONCATENATE(P18,":",S18),Y18)+IF(F74=CONCATENATE(P20,":",S20),Y20)+IF(F74=CONCATENATE(P22,":",S22),Y22)+IF(F74=CONCATENATE(P24,":",S24),Y24)+IF(F74=CONCATENATE(P26,":",S26),Y26)+IF(F74=CONCATENATE(P28,":",S28),Y28)+IF(F74=CONCATENATE(P30,":",S30),Y30)+IF(F74=CONCATENATE(P32,":",S32),Y32)+IF(F74=CONCATENATE(P34,":",S34),Y34)+IF(F74=CONCATENATE(P36,":",S36),Y36)+IF(F74=CONCATENATE(P36,":",S36),Y36)</f>
        <v>0</v>
      </c>
      <c r="H74" s="36"/>
    </row>
    <row r="75" spans="2:8" ht="15" x14ac:dyDescent="0.3">
      <c r="B75" s="34"/>
      <c r="C75" s="35"/>
      <c r="D75" s="35"/>
      <c r="E75" s="35"/>
      <c r="F75" s="41" t="s">
        <v>264</v>
      </c>
      <c r="G75" s="75">
        <f>IF(F75=CONCATENATE(P14,":",S14),Y14)+IF(F75=CONCATENATE(P16,":",S16),Y16)+IF(F75=CONCATENATE(P18,":",S18),Y18)+IF(F75=CONCATENATE(P20,":",S20),Y20)+IF(F75=CONCATENATE(P22,":",S22),Y22)+IF(F75=CONCATENATE(P24,":",S24),Y24)+IF(F75=CONCATENATE(P26,":",S26),Y26)+IF(F75=CONCATENATE(P28,":",S28),Y28)+IF(F75=CONCATENATE(P30,":",S30),Y30)+IF(F75=CONCATENATE(P32,":",S32),Y32)+IF(F75=CONCATENATE(P34,":",S34),Y34)+IF(F75=CONCATENATE(P36,":",S36),Y36)+IF(F75=CONCATENATE(P36,":",S36),Y36)</f>
        <v>0</v>
      </c>
      <c r="H75" s="36"/>
    </row>
    <row r="76" spans="2:8" ht="15" x14ac:dyDescent="0.3">
      <c r="B76" s="34"/>
      <c r="C76" s="35"/>
      <c r="D76" s="35"/>
      <c r="E76" s="35"/>
      <c r="F76" s="41" t="s">
        <v>265</v>
      </c>
      <c r="G76" s="75">
        <f>IF(F76=CONCATENATE(P14,":",S14),Y14)+IF(F76=CONCATENATE(P16,":",S16),Y16)+IF(F76=CONCATENATE(P18,":",S18),Y18)+IF(F76=CONCATENATE(P20,":",S20),Y20)+IF(F76=CONCATENATE(P22,":",S22),Y22)+IF(F76=CONCATENATE(P24,":",S24),Y24)+IF(F76=CONCATENATE(P26,":",S26),Y26)+IF(F76=CONCATENATE(P28,":",S28),Y28)+IF(F76=CONCATENATE(P30,":",S30),Y30)+IF(F76=CONCATENATE(P32,":",S32),Y32)+IF(F76=CONCATENATE(P34,":",S34),Y34)+IF(F76=CONCATENATE(P36,":",S36),Y36)+IF(F76=CONCATENATE(P36,":",S36),Y36)</f>
        <v>0</v>
      </c>
      <c r="H76" s="36"/>
    </row>
    <row r="77" spans="2:8" ht="15" x14ac:dyDescent="0.3">
      <c r="B77" s="34"/>
      <c r="C77" s="35"/>
      <c r="D77" s="35"/>
      <c r="E77" s="35"/>
      <c r="F77" s="41" t="s">
        <v>266</v>
      </c>
      <c r="G77" s="75">
        <f>IF(F77=CONCATENATE(P14,":",S14),Y14)+IF(F77=CONCATENATE(P16,":",S16),Y16)+IF(F77=CONCATENATE(P18,":",S18),Y18)+IF(F77=CONCATENATE(P20,":",S20),Y20)+IF(F77=CONCATENATE(P22,":",S22),Y22)+IF(F77=CONCATENATE(P24,":",S24),Y24)+IF(F77=CONCATENATE(P26,":",S26),Y26)+IF(F77=CONCATENATE(P28,":",S28),Y28)+IF(F77=CONCATENATE(P30,":",S30),Y30)+IF(F77=CONCATENATE(P32,":",S32),Y32)+IF(F77=CONCATENATE(P34,":",S34),Y34)+IF(F77=CONCATENATE(P36,":",S36),Y36)+IF(F77=CONCATENATE(P36,":",S36),Y36)</f>
        <v>2.5</v>
      </c>
      <c r="H77" s="36"/>
    </row>
    <row r="78" spans="2:8" ht="15" x14ac:dyDescent="0.3">
      <c r="B78" s="34"/>
      <c r="C78" s="35"/>
      <c r="D78" s="35"/>
      <c r="E78" s="35"/>
      <c r="F78" s="41" t="s">
        <v>267</v>
      </c>
      <c r="G78" s="75">
        <f>IF(F78=CONCATENATE(P14,":",S14),Y14)+IF(F78=CONCATENATE(P16,":",S16),Y16)+IF(F78=CONCATENATE(P18,":",S18),Y18)+IF(F78=CONCATENATE(P20,":",S20),Y20)+IF(F78=CONCATENATE(P22,":",S22),Y22)+IF(F78=CONCATENATE(P24,":",S24),Y24)+IF(F78=CONCATENATE(P26,":",S26),Y26)+IF(F78=CONCATENATE(P28,":",S28),Y28)+IF(F78=CONCATENATE(P30,":",S30),Y30)+IF(F78=CONCATENATE(P32,":",S32),Y32)+IF(F78=CONCATENATE(P34,":",S34),Y34)+IF(F78=CONCATENATE(P36,":",S36),Y36)+IF(F78=CONCATENATE(P36,":",S36),Y36)</f>
        <v>0</v>
      </c>
      <c r="H78" s="36"/>
    </row>
    <row r="79" spans="2:8" ht="15" x14ac:dyDescent="0.3">
      <c r="B79" s="34"/>
      <c r="C79" s="35"/>
      <c r="D79" s="35"/>
      <c r="E79" s="35"/>
      <c r="F79" s="41" t="s">
        <v>268</v>
      </c>
      <c r="G79" s="75">
        <f>IF(F79=CONCATENATE(P14,":",S14),Y14)+IF(F79=CONCATENATE(P16,":",S16),Y16)+IF(F79=CONCATENATE(P18,":",S18),Y18)+IF(F79=CONCATENATE(P20,":",S20),Y20)+IF(F79=CONCATENATE(P22,":",S22),Y22)+IF(F79=CONCATENATE(P24,":",S24),Y24)+IF(F79=CONCATENATE(P26,":",S26),Y26)+IF(F79=CONCATENATE(P28,":",S28),Y28)+IF(F79=CONCATENATE(P30,":",S30),Y30)+IF(F79=CONCATENATE(P32,":",S32),Y32)+IF(F79=CONCATENATE(P34,":",S34),Y34)+IF(F79=CONCATENATE(P36,":",S36),Y36)+IF(F79=CONCATENATE(P36,":",S36),Y36)</f>
        <v>0</v>
      </c>
      <c r="H79" s="36"/>
    </row>
    <row r="80" spans="2:8" ht="15" x14ac:dyDescent="0.3">
      <c r="B80" s="34"/>
      <c r="C80" s="35"/>
      <c r="D80" s="35"/>
      <c r="E80" s="35"/>
      <c r="F80" s="41" t="s">
        <v>269</v>
      </c>
      <c r="G80" s="75">
        <f>IF(F80=CONCATENATE(P14,":",S14),Y14)+IF(F80=CONCATENATE(P16,":",S16),Y16)+IF(F80=CONCATENATE(P18,":",S18),Y18)+IF(F80=CONCATENATE(P20,":",S20),Y20)+IF(F80=CONCATENATE(P22,":",S22),Y22)+IF(F80=CONCATENATE(P24,":",S24),Y24)+IF(F80=CONCATENATE(P26,":",S26),Y26)+IF(F80=CONCATENATE(P28,":",S28),Y28)+IF(F80=CONCATENATE(P30,":",S30),Y30)+IF(F80=CONCATENATE(P32,":",S32),Y32)+IF(F80=CONCATENATE(P34,":",S34),Y34)+IF(F80=CONCATENATE(P36,":",S36),Y36)+IF(F80=CONCATENATE(P36,":",S36),Y36)</f>
        <v>0</v>
      </c>
      <c r="H80" s="36"/>
    </row>
    <row r="81" spans="2:8" ht="15" x14ac:dyDescent="0.3">
      <c r="B81" s="34"/>
      <c r="C81" s="35"/>
      <c r="D81" s="35"/>
      <c r="E81" s="35"/>
      <c r="F81" s="41" t="s">
        <v>270</v>
      </c>
      <c r="G81" s="75">
        <f>IF(F81=CONCATENATE(P14,":",S14),Y14)+IF(F81=CONCATENATE(P16,":",S16),Y16)+IF(F81=CONCATENATE(P18,":",S18),Y18)+IF(F81=CONCATENATE(P20,":",S20),Y20)+IF(F81=CONCATENATE(P22,":",S22),Y22)+IF(F81=CONCATENATE(P24,":",S24),Y24)+IF(F81=CONCATENATE(P26,":",S26),Y26)+IF(F81=CONCATENATE(P28,":",S28),Y28)+IF(F81=CONCATENATE(P30,":",S30),Y30)+IF(F81=CONCATENATE(P32,":",S32),Y32)+IF(F81=CONCATENATE(P34,":",S34),Y34)+IF(F81=CONCATENATE(P36,":",S36),Y36)+IF(F81=CONCATENATE(P36,":",S36),Y36)</f>
        <v>0</v>
      </c>
      <c r="H81" s="36"/>
    </row>
    <row r="82" spans="2:8" ht="15" x14ac:dyDescent="0.3">
      <c r="B82" s="34"/>
      <c r="C82" s="35"/>
      <c r="D82" s="35"/>
      <c r="E82" s="35"/>
      <c r="F82" s="41" t="s">
        <v>271</v>
      </c>
      <c r="G82" s="75">
        <f>IF(F82=CONCATENATE(P14,":",S14),Y14)+IF(F82=CONCATENATE(P16,":",S16),Y16)+IF(F82=CONCATENATE(P18,":",S18),Y18)+IF(F82=CONCATENATE(P20,":",S20),Y20)+IF(F82=CONCATENATE(P22,":",S22),Y22)+IF(F82=CONCATENATE(P24,":",S24),Y24)+IF(F82=CONCATENATE(P26,":",S26),Y26)+IF(F82=CONCATENATE(P28,":",S28),Y28)+IF(F82=CONCATENATE(P30,":",S30),Y30)+IF(F82=CONCATENATE(P32,":",S32),Y32)+IF(F82=CONCATENATE(P34,":",S34),Y34)+IF(F82=CONCATENATE(P36,":",S36),Y36)+IF(F82=CONCATENATE(P36,":",S36),Y36)</f>
        <v>0</v>
      </c>
      <c r="H82" s="36"/>
    </row>
    <row r="83" spans="2:8" ht="15" x14ac:dyDescent="0.3">
      <c r="B83" s="34"/>
      <c r="C83" s="35"/>
      <c r="D83" s="35"/>
      <c r="E83" s="35"/>
      <c r="F83" s="41" t="s">
        <v>272</v>
      </c>
      <c r="G83" s="75">
        <f>IF(F83=CONCATENATE(P14,":",S14),Y14)+IF(F83=CONCATENATE(P16,":",S16),Y16)+IF(F83=CONCATENATE(P18,":",S18),Y18)+IF(F83=CONCATENATE(P20,":",S20),Y20)+IF(F83=CONCATENATE(P22,":",S22),Y22)+IF(F83=CONCATENATE(P24,":",S24),Y24)+IF(F83=CONCATENATE(P26,":",S26),Y26)+IF(F83=CONCATENATE(P28,":",S28),Y28)+IF(F83=CONCATENATE(P30,":",S30),Y30)+IF(F83=CONCATENATE(P32,":",S32),Y32)+IF(F83=CONCATENATE(P34,":",S34),Y34)+IF(F83=CONCATENATE(P36,":",S36),Y36)+IF(F83=CONCATENATE(P36,":",S36),Y36)</f>
        <v>0</v>
      </c>
      <c r="H83" s="36"/>
    </row>
    <row r="84" spans="2:8" ht="15" x14ac:dyDescent="0.3">
      <c r="B84" s="34"/>
      <c r="C84" s="35"/>
      <c r="D84" s="35"/>
      <c r="E84" s="35"/>
      <c r="F84" s="41" t="s">
        <v>273</v>
      </c>
      <c r="G84" s="75">
        <f>IF(F84=CONCATENATE(P14,":",S14),Y14)+IF(F84=CONCATENATE(P16,":",S16),Y16)+IF(F84=CONCATENATE(P18,":",S18),Y18)+IF(F84=CONCATENATE(P20,":",S20),Y20)+IF(F84=CONCATENATE(P22,":",S22),Y22)+IF(F84=CONCATENATE(P24,":",S24),Y24)+IF(F84=CONCATENATE(P26,":",S26),Y26)+IF(F84=CONCATENATE(P28,":",S28),Y28)+IF(F84=CONCATENATE(P30,":",S30),Y30)+IF(F84=CONCATENATE(P32,":",S32),Y32)+IF(F84=CONCATENATE(P34,":",S34),Y34)+IF(F84=CONCATENATE(P36,":",S36),Y36)+IF(F84=CONCATENATE(P36,":",S36),Y36)</f>
        <v>0</v>
      </c>
      <c r="H84" s="36"/>
    </row>
    <row r="85" spans="2:8" ht="15" x14ac:dyDescent="0.3">
      <c r="B85" s="34"/>
      <c r="C85" s="35"/>
      <c r="D85" s="35"/>
      <c r="E85" s="35"/>
      <c r="F85" s="41" t="s">
        <v>274</v>
      </c>
      <c r="G85" s="75">
        <f>IF(F85=CONCATENATE(P14,":",S14),Y14)+IF(F85=CONCATENATE(P16,":",S16),Y16)+IF(F85=CONCATENATE(P18,":",S18),Y18)+IF(F85=CONCATENATE(P20,":",S20),Y20)+IF(F85=CONCATENATE(P22,":",S22),Y22)+IF(F85=CONCATENATE(P24,":",S24),Y24)+IF(F85=CONCATENATE(P26,":",S26),Y26)+IF(F85=CONCATENATE(P28,":",S28),Y28)+IF(F85=CONCATENATE(P30,":",S30),Y30)+IF(F85=CONCATENATE(P32,":",S32),Y32)+IF(F85=CONCATENATE(P34,":",S34),Y34)+IF(F85=CONCATENATE(P36,":",S36),Y36)+IF(F85=CONCATENATE(P36,":",S36),Y36)</f>
        <v>0</v>
      </c>
      <c r="H85" s="36"/>
    </row>
    <row r="86" spans="2:8" ht="15" x14ac:dyDescent="0.3">
      <c r="B86" s="37"/>
      <c r="C86" s="38"/>
      <c r="D86" s="38"/>
      <c r="E86" s="38"/>
      <c r="F86" s="42" t="s">
        <v>275</v>
      </c>
      <c r="G86" s="76">
        <f>IF(F86=CONCATENATE(P14,":",S14),Y14)+IF(F86=CONCATENATE(P16,":",S16),Y16)+IF(F86=CONCATENATE(P18,":",S18),Y18)+IF(F86=CONCATENATE(P20,":",S20),Y20)+IF(F86=CONCATENATE(P22,":",S22),Y22)+IF(F86=CONCATENATE(P24,":",S24),Y24)+IF(F86=CONCATENATE(P26,":",S26),Y26)+IF(F86=CONCATENATE(P28,":",S28),Y28)+IF(F86=CONCATENATE(P30,":",S30),Y30)+IF(F86=CONCATENATE(P32,":",S32),Y32)+IF(F86=CONCATENATE(P34,":",S34),Y34)+IF(F86=CONCATENATE(P36,":",S36),Y36)+IF(F86=CONCATENATE(P36,":",S36),Y36)</f>
        <v>0</v>
      </c>
      <c r="H86" s="39"/>
    </row>
    <row r="89" spans="2:8" s="64" customFormat="1" ht="15" x14ac:dyDescent="0.3">
      <c r="B89" s="65"/>
      <c r="C89" s="66"/>
      <c r="D89" s="66"/>
      <c r="E89" s="66"/>
      <c r="F89" s="78" t="s">
        <v>291</v>
      </c>
      <c r="G89" s="74">
        <f>IF( F89=CONCATENATE(G14,":",J14),Y14)+IF( F89=CONCATENATE(G16,":",J16),Y16)+IF( F89=CONCATENATE(G18,":",J18),Y18)+IF( F89=CONCATENATE(G20,":",J20),Y20)+IF( F89=CONCATENATE(G22,":",J22),Y22)+IF( F89=CONCATENATE(G24,":",J24),Y24)+IF( F89=CONCATENATE(G26,":",J26),Y26)+IF( F89=CONCATENATE(G28,":",J28),Y28)+IF( F89=CONCATENATE(P30,":",S30),Y30)+IF( F89=CONCATENATE(P32,":",S32),Y32)+IF( F89=CONCATENATE(P34,":",S34),Y34)+IF( F89=CONCATENATE(P36,":",S36),Y36)</f>
        <v>0</v>
      </c>
      <c r="H89" s="67"/>
    </row>
    <row r="90" spans="2:8" s="64" customFormat="1" ht="15" x14ac:dyDescent="0.3">
      <c r="B90" s="68"/>
      <c r="C90" s="69"/>
      <c r="D90" s="69"/>
      <c r="E90" s="69"/>
      <c r="F90" s="77" t="s">
        <v>221</v>
      </c>
      <c r="G90" s="79">
        <f>IF( F90=CONCATENATE(G14,":",J14),Y14)+IF( F90=CONCATENATE(G16,":",J16),Y16)+IF( F90=CONCATENATE(G18,":",J18),Y18)+IF( F90=CONCATENATE(G20,":",J20),Y20)+IF( F90=CONCATENATE(G22,":",J22),Y22)+IF( F90=CONCATENATE(G24,":",J24),Y24)+IF( F90=CONCATENATE(G26,":",J26),Y26)+IF( F90=CONCATENATE(G28,":",J28),Y28)+IF( F90=CONCATENATE(P30,":",S30),Y30)+IF( F90=CONCATENATE(P32,":",S32),Y32)+IF( F90=CONCATENATE(P34,":",S34),Y34)+IF( F90=CONCATENATE(P36,":",S36),Y36)</f>
        <v>0</v>
      </c>
      <c r="H90" s="70"/>
    </row>
    <row r="91" spans="2:8" s="64" customFormat="1" ht="15" x14ac:dyDescent="0.3">
      <c r="B91" s="68"/>
      <c r="C91" s="69"/>
      <c r="D91" s="69"/>
      <c r="E91" s="69"/>
      <c r="F91" s="77" t="s">
        <v>281</v>
      </c>
      <c r="G91" s="79">
        <f>IF( F91=CONCATENATE(G14,":",J14),Y14)+IF( F91=CONCATENATE(G16,":",J16),Y16)+IF( F91=CONCATENATE(G18,":",J18),Y18)+IF( F91=CONCATENATE(G20,":",J20),Y20)+IF( F91=CONCATENATE(G22,":",J22),Y22)+IF( F91=CONCATENATE(G24,":",J24),Y24)+IF( F91=CONCATENATE(G26,":",J26),Y26)+IF( F91=CONCATENATE(G28,":",J28),Y28)+IF( F91=CONCATENATE(P30,":",S30),Y30)+IF( F91=CONCATENATE(P32,":",S32),Y32)+IF( F91=CONCATENATE(P34,":",S34),Y34)+IF( F91=CONCATENATE(P36,":",S36),Y36)</f>
        <v>0</v>
      </c>
      <c r="H91" s="70"/>
    </row>
    <row r="92" spans="2:8" s="64" customFormat="1" ht="15" x14ac:dyDescent="0.3">
      <c r="B92" s="68"/>
      <c r="C92" s="69"/>
      <c r="D92" s="69"/>
      <c r="E92" s="69"/>
      <c r="F92" s="77" t="s">
        <v>222</v>
      </c>
      <c r="G92" s="79">
        <f>IF( F92=CONCATENATE(G14,":",J14),Y14)+IF( F92=CONCATENATE(G16,":",J16),Y16)+IF( F92=CONCATENATE(G18,":",J18),Y18)+IF( F92=CONCATENATE(G20,":",J20),Y20)+IF( F92=CONCATENATE(G22,":",J22),Y22)+IF( F92=CONCATENATE(G24,":",J24),Y24)+IF( F92=CONCATENATE(G26,":",J26),Y26)+IF( F92=CONCATENATE(G28,":",J28),Y28)+IF( F92=CONCATENATE(P30,":",S30),Y30)+IF( F92=CONCATENATE(P32,":",S32),Y32)+IF( F92=CONCATENATE(P34,":",S34),Y34)+IF( F92=CONCATENATE(P36,":",S36),Y36)</f>
        <v>0</v>
      </c>
      <c r="H92" s="70"/>
    </row>
    <row r="93" spans="2:8" s="64" customFormat="1" ht="15" x14ac:dyDescent="0.3">
      <c r="B93" s="68"/>
      <c r="C93" s="69"/>
      <c r="D93" s="69"/>
      <c r="E93" s="69"/>
      <c r="F93" s="77" t="s">
        <v>223</v>
      </c>
      <c r="G93" s="79">
        <f>IF( F93=CONCATENATE(G14,":",J14),Y14)+IF( F93=CONCATENATE(G16,":",J16),Y16)+IF( F93=CONCATENATE(G18,":",J18),Y18)+IF( F93=CONCATENATE(G20,":",J20),Y20)+IF( F93=CONCATENATE(G22,":",J22),Y22)+IF( F93=CONCATENATE(G24,":",J24),Y24)+IF( F93=CONCATENATE(G26,":",J26),Y26)+IF( F93=CONCATENATE(G28,":",J28),Y28)+IF( F93=CONCATENATE(P30,":",S30),Y30)+IF( F93=CONCATENATE(P32,":",S32),Y32)+IF( F93=CONCATENATE(P34,":",S34),Y34)+IF( F93=CONCATENATE(P36,":",S36),Y36)</f>
        <v>0</v>
      </c>
      <c r="H93" s="70"/>
    </row>
    <row r="94" spans="2:8" s="64" customFormat="1" ht="15" x14ac:dyDescent="0.3">
      <c r="B94" s="68"/>
      <c r="C94" s="69"/>
      <c r="D94" s="69"/>
      <c r="E94" s="69"/>
      <c r="F94" s="77" t="s">
        <v>224</v>
      </c>
      <c r="G94" s="79">
        <f>IF( F94=CONCATENATE(G14,":",J14),Y14)+IF( F94=CONCATENATE(G16,":",J16),Y16)+IF( F94=CONCATENATE(G18,":",J18),Y18)+IF( F94=CONCATENATE(G20,":",J20),Y20)+IF( F94=CONCATENATE(G22,":",J22),Y22)+IF( F94=CONCATENATE(G24,":",J24),Y24)+IF( F94=CONCATENATE(G26,":",J26),Y26)+IF( F94=CONCATENATE(G28,":",J28),Y28)+IF( F94=CONCATENATE(P30,":",S30),Y30)+IF( F94=CONCATENATE(P32,":",S32),Y32)+IF( F94=CONCATENATE(P34,":",S34),Y34)+IF( F94=CONCATENATE(P36,":",S36),Y36)</f>
        <v>0</v>
      </c>
      <c r="H94" s="70"/>
    </row>
    <row r="95" spans="2:8" s="64" customFormat="1" ht="15" x14ac:dyDescent="0.3">
      <c r="B95" s="68"/>
      <c r="C95" s="69"/>
      <c r="D95" s="69"/>
      <c r="E95" s="69"/>
      <c r="F95" s="77" t="s">
        <v>225</v>
      </c>
      <c r="G95" s="79">
        <f>IF( F95=CONCATENATE(G14,":",J14),Y14)+IF( F95=CONCATENATE(G16,":",J16),Y16)+IF( F95=CONCATENATE(G18,":",J18),Y18)+IF( F95=CONCATENATE(G20,":",J20),Y20)+IF( F95=CONCATENATE(G22,":",J22),Y22)+IF( F95=CONCATENATE(G24,":",J24),Y24)+IF( F95=CONCATENATE(G26,":",J26),Y26)+IF( F95=CONCATENATE(G28,":",J28),Y28)+IF( F95=CONCATENATE(P30,":",S30),Y30)+IF( F95=CONCATENATE(P32,":",S32),Y32)+IF( F95=CONCATENATE(P34,":",S34),Y34)+IF( F95=CONCATENATE(P36,":",S36),Y36)</f>
        <v>0</v>
      </c>
      <c r="H95" s="70"/>
    </row>
    <row r="96" spans="2:8" s="64" customFormat="1" ht="15" x14ac:dyDescent="0.3">
      <c r="B96" s="68"/>
      <c r="C96" s="69"/>
      <c r="D96" s="69"/>
      <c r="E96" s="69"/>
      <c r="F96" s="77" t="s">
        <v>226</v>
      </c>
      <c r="G96" s="79">
        <f>IF( F96=CONCATENATE(G14,":",J14),Y14)+IF( F96=CONCATENATE(G16,":",J16),Y16)+IF( F96=CONCATENATE(G18,":",J18),Y18)+IF( F96=CONCATENATE(G20,":",J20),Y20)+IF( F96=CONCATENATE(G22,":",J22),Y22)+IF( F96=CONCATENATE(G24,":",J24),Y24)+IF( F96=CONCATENATE(G26,":",J26),Y26)+IF( F96=CONCATENATE(G28,":",J28),Y28)+IF( F96=CONCATENATE(P30,":",S30),Y30)+IF( F96=CONCATENATE(P32,":",S32),Y32)+IF( F96=CONCATENATE(P34,":",S34),Y34)+IF( F96=CONCATENATE(P36,":",S36),Y36)</f>
        <v>0</v>
      </c>
      <c r="H96" s="70"/>
    </row>
    <row r="97" spans="2:8" s="64" customFormat="1" ht="15" x14ac:dyDescent="0.3">
      <c r="B97" s="68"/>
      <c r="C97" s="69"/>
      <c r="D97" s="69"/>
      <c r="E97" s="69"/>
      <c r="F97" s="77" t="s">
        <v>309</v>
      </c>
      <c r="G97" s="79">
        <f>IF( F97=CONCATENATE(G14,":",J14),Y14)+IF( F97=CONCATENATE(G16,":",J16),Y16)+IF( F97=CONCATENATE(G18,":",J18),Y18)+IF( F97=CONCATENATE(G20,":",J20),Y20)+IF( F97=CONCATENATE(G22,":",J22),Y22)+IF( F97=CONCATENATE(G24,":",J24),Y24)+IF( F97=CONCATENATE(G26,":",J26),Y26)+IF( F97=CONCATENATE(G28,":",J28),Y28)+IF( F97=CONCATENATE(P30,":",S30),Y30)+IF( F97=CONCATENATE(P32,":",S32),Y32)+IF( F97=CONCATENATE(P34,":",S34),Y34)+IF( F97=CONCATENATE(P36,":",S36),Y36)</f>
        <v>0</v>
      </c>
      <c r="H97" s="70"/>
    </row>
    <row r="98" spans="2:8" s="64" customFormat="1" ht="15" x14ac:dyDescent="0.3">
      <c r="B98" s="68"/>
      <c r="C98" s="69"/>
      <c r="D98" s="69"/>
      <c r="E98" s="69"/>
      <c r="F98" s="77" t="s">
        <v>307</v>
      </c>
      <c r="G98" s="79">
        <f>IF( F98=CONCATENATE(G14,":",J14),Y14)+IF( F98=CONCATENATE(G16,":",J16),Y16)+IF( F98=CONCATENATE(G18,":",J18),Y18)+IF( F98=CONCATENATE(G20,":",J20),Y20)+IF( F98=CONCATENATE(G22,":",J22),Y22)+IF( F98=CONCATENATE(G24,":",J24),Y24)+IF( F98=CONCATENATE(G26,":",J26),Y26)+IF( F98=CONCATENATE(G28,":",J28),Y28)+IF( F98=CONCATENATE(P30,":",S30),Y30)+IF( F98=CONCATENATE(P32,":",S32),Y32)+IF( F98=CONCATENATE(P34,":",S34),Y34)+IF( F98=CONCATENATE(P36,":",S36),Y36)</f>
        <v>0</v>
      </c>
      <c r="H98" s="70"/>
    </row>
    <row r="99" spans="2:8" s="64" customFormat="1" ht="15" x14ac:dyDescent="0.3">
      <c r="B99" s="68"/>
      <c r="C99" s="69"/>
      <c r="D99" s="69"/>
      <c r="E99" s="69"/>
      <c r="F99" s="77" t="s">
        <v>325</v>
      </c>
      <c r="G99" s="79">
        <f>IF( F99=CONCATENATE(G14,":",J14),Y14)+IF( F99=CONCATENATE(G16,":",J16),Y16)+IF( F99=CONCATENATE(G18,":",J18),Y18)+IF( F99=CONCATENATE(G20,":",J20),Y20)+IF( F99=CONCATENATE(G22,":",J22),Y22)+IF( F99=CONCATENATE(G24,":",J24),Y24)+IF( F99=CONCATENATE(G26,":",J26),Y26)+IF( F99=CONCATENATE(G28,":",J28),Y28)+IF( F99=CONCATENATE(P30,":",S30),Y30)+IF( F99=CONCATENATE(P32,":",S32),Y32)+IF( F99=CONCATENATE(P34,":",S34),Y34)+IF( F99=CONCATENATE(P36,":",S36),Y36)</f>
        <v>0</v>
      </c>
      <c r="H99" s="70"/>
    </row>
    <row r="100" spans="2:8" s="64" customFormat="1" ht="15" x14ac:dyDescent="0.3">
      <c r="B100" s="68"/>
      <c r="C100" s="69"/>
      <c r="D100" s="69"/>
      <c r="E100" s="69"/>
      <c r="F100" s="77" t="s">
        <v>227</v>
      </c>
      <c r="G100" s="79">
        <f>IF(F100=CONCATENATE(G14,":",J14),Y14)+IF(F100=CONCATENATE(G16,":",J16),Y16)+IF(F100=CONCATENATE(G18,":",J18),Y18)+IF(F100=CONCATENATE(G20,":",J20),Y20)+IF(F100=CONCATENATE(G22,":",J22),Y22)+IF(F100=CONCATENATE(G24,":",J24),Y24)+IF(F100=CONCATENATE(G26,":",J26),Y26)+IF(F100=CONCATENATE(G28,":",J28),Y28)+IF(F100=CONCATENATE(P30,":",S30),Y30)+IF(F100=CONCATENATE(P32,":",S32),Y32)+IF(F100=CONCATENATE(P34,":",S34),Y34)+IF(F100=CONCATENATE(P36,":",S36),Y36)</f>
        <v>0</v>
      </c>
      <c r="H100" s="70"/>
    </row>
    <row r="101" spans="2:8" s="64" customFormat="1" ht="15" x14ac:dyDescent="0.3">
      <c r="B101" s="68"/>
      <c r="C101" s="69"/>
      <c r="D101" s="69"/>
      <c r="E101" s="69"/>
      <c r="F101" s="77" t="s">
        <v>228</v>
      </c>
      <c r="G101" s="79">
        <f>IF(F101=CONCATENATE(G14,":",J14),Y14)+IF(F101=CONCATENATE(G16,":",J16),Y16)+IF(F101=CONCATENATE(G18,":",J18),Y18)+IF(F101=CONCATENATE(G20,":",J20),Y20)+IF(F101=CONCATENATE(G22,":",J22),Y22)+IF(F101=CONCATENATE(G24,":",J24),Y24)+IF(F101=CONCATENATE(G26,":",J26),Y26)+IF(F101=CONCATENATE(G28,":",J28),Y28)+IF(F101=CONCATENATE(P30,":",S30),Y30)+IF(F101=CONCATENATE(P32,":",S32),Y32)+IF(F101=CONCATENATE(P34,":",S34),Y34)+IF(F101=CONCATENATE(P36,":",S36),Y36)</f>
        <v>0</v>
      </c>
      <c r="H101" s="70"/>
    </row>
    <row r="102" spans="2:8" s="64" customFormat="1" ht="15" x14ac:dyDescent="0.3">
      <c r="B102" s="68"/>
      <c r="C102" s="69"/>
      <c r="D102" s="69"/>
      <c r="E102" s="69"/>
      <c r="F102" s="77" t="s">
        <v>229</v>
      </c>
      <c r="G102" s="79">
        <f>IF(F102=CONCATENATE(G14,":",J14),Y14)+IF(F102=CONCATENATE(G16,":",J16),Y16)+IF(F102=CONCATENATE(G18,":",J18),Y18)+IF(F102=CONCATENATE(G20,":",J20),Y20)+IF(F102=CONCATENATE(G22,":",J22),Y22)+IF(F102=CONCATENATE(G24,":",J24),Y24)+IF(F102=CONCATENATE(G26,":",J26),Y26)+IF(F102=CONCATENATE(G28,":",J28),Y28)+IF(F102=CONCATENATE(P30,":",S30),Y30)+IF(F102=CONCATENATE(P32,":",S32),Y32)+IF(F102=CONCATENATE(P34,":",S34),Y34)+IF(F102=CONCATENATE(P36,":",S36),Y36)</f>
        <v>0</v>
      </c>
      <c r="H102" s="70"/>
    </row>
    <row r="103" spans="2:8" s="64" customFormat="1" ht="15" x14ac:dyDescent="0.3">
      <c r="B103" s="68"/>
      <c r="C103" s="69"/>
      <c r="D103" s="69"/>
      <c r="E103" s="69"/>
      <c r="F103" s="77" t="s">
        <v>230</v>
      </c>
      <c r="G103" s="79">
        <f>IF(F103=CONCATENATE(G14,":",J14),Y14)+IF(F103=CONCATENATE(G16,":",J16),Y16)+IF(F103=CONCATENATE(G18,":",J18),Y18)+IF(F103=CONCATENATE(G20,":",J20),Y20)+IF(F103=CONCATENATE(G22,":",J22),Y22)+IF(F103=CONCATENATE(G24,":",J24),Y24)+IF(F103=CONCATENATE(G26,":",J26),Y26)+IF(F103=CONCATENATE(G28,":",J28),Y28)+IF(F103=CONCATENATE(P30,":",S30),Y30)+IF(F103=CONCATENATE(P32,":",S32),Y32)+IF(F103=CONCATENATE(P34,":",S34),Y34)+IF(F103=CONCATENATE(P36,":",S36),Y36)</f>
        <v>0</v>
      </c>
      <c r="H103" s="70"/>
    </row>
    <row r="104" spans="2:8" s="64" customFormat="1" ht="15" x14ac:dyDescent="0.3">
      <c r="B104" s="68"/>
      <c r="C104" s="69"/>
      <c r="D104" s="69"/>
      <c r="E104" s="69"/>
      <c r="F104" s="77" t="s">
        <v>231</v>
      </c>
      <c r="G104" s="79">
        <f>IF(F104=CONCATENATE(G14,":",J14),Y14)+IF(F104=CONCATENATE(G16,":",J16),Y16)+IF(F104=CONCATENATE(G18,":",J18),Y18)+IF(F104=CONCATENATE(G20,":",J20),Y20)+IF(F104=CONCATENATE(G22,":",J22),Y22)+IF(F104=CONCATENATE(G24,":",J24),Y24)+IF(F104=CONCATENATE(G26,":",J26),Y26)+IF(F104=CONCATENATE(G28,":",J28),Y28)+IF(F104=CONCATENATE(P30,":",S30),Y30)+IF(F104=CONCATENATE(P32,":",S32),Y32)+IF(F104=CONCATENATE(P34,":",S34),Y34)+IF(F104=CONCATENATE(P36,":",S36),Y36)</f>
        <v>0</v>
      </c>
      <c r="H104" s="70"/>
    </row>
    <row r="105" spans="2:8" s="64" customFormat="1" ht="15" x14ac:dyDescent="0.3">
      <c r="B105" s="68"/>
      <c r="C105" s="69"/>
      <c r="D105" s="69"/>
      <c r="E105" s="69"/>
      <c r="F105" s="77" t="s">
        <v>232</v>
      </c>
      <c r="G105" s="79">
        <f>IF(F105=CONCATENATE(G14,":",J14),Y14)+IF(F105=CONCATENATE(G16,":",J16),Y16)+IF(F105=CONCATENATE(G18,":",J18),Y18)+IF(F105=CONCATENATE(G20,":",J20),Y20)+IF(F105=CONCATENATE(G22,":",J22),Y22)+IF(F105=CONCATENATE(G24,":",J24),Y24)+IF(F105=CONCATENATE(G26,":",J26),Y26)+IF(F105=CONCATENATE(G28,":",J28),Y28)+IF(F105=CONCATENATE(P30,":",S30),Y30)+IF(F105=CONCATENATE(P32,":",S32),Y32)+IF(F105=CONCATENATE(P34,":",S34),Y34)+IF(F105=CONCATENATE(P36,":",S36),Y36)</f>
        <v>0</v>
      </c>
      <c r="H105" s="70"/>
    </row>
    <row r="106" spans="2:8" s="64" customFormat="1" ht="15" x14ac:dyDescent="0.3">
      <c r="B106" s="68"/>
      <c r="C106" s="69"/>
      <c r="D106" s="69"/>
      <c r="E106" s="69"/>
      <c r="F106" s="77" t="s">
        <v>300</v>
      </c>
      <c r="G106" s="79">
        <f>IF(F106=CONCATENATE(G14,":",J14),Y14)+IF(F106=CONCATENATE(G16,":",J16),Y16)+IF(F106=CONCATENATE(G18,":",J18),Y18)+IF(F106=CONCATENATE(G20,":",J20),Y20)+IF(F106=CONCATENATE(G22,":",J22),Y22)+IF(F106=CONCATENATE(G24,":",J24),Y24)+IF(F106=CONCATENATE(G26,":",J26),Y26)+IF(F106=CONCATENATE(G28,":",J28),Y28)+IF(F106=CONCATENATE(P30,":",S30),Y30)+IF(F106=CONCATENATE(P32,":",S32),Y32)+IF(F106=CONCATENATE(P34,":",S34),Y34)+IF(F106=CONCATENATE(P36,":",S36),Y36)</f>
        <v>0</v>
      </c>
      <c r="H106" s="70"/>
    </row>
    <row r="107" spans="2:8" s="64" customFormat="1" ht="15" x14ac:dyDescent="0.3">
      <c r="B107" s="68"/>
      <c r="C107" s="69"/>
      <c r="D107" s="69"/>
      <c r="E107" s="69"/>
      <c r="F107" s="77" t="s">
        <v>286</v>
      </c>
      <c r="G107" s="79">
        <f>IF(F107=CONCATENATE(G14,":",J14),Y14)+IF(F107=CONCATENATE(G16,":",J16),Y16)+IF(F107=CONCATENATE(G18,":",J18),Y18)+IF(F107=CONCATENATE(G20,":",J20),Y20)+IF(F107=CONCATENATE(G22,":",J22),Y22)+IF(F107=CONCATENATE(G24,":",J24),Y24)+IF(F107=CONCATENATE(G26,":",J26),Y26)+IF(F107=CONCATENATE(G28,":",J28),Y28)+IF(F107=CONCATENATE(P30,":",S30),Y30)+IF(F107=CONCATENATE(P32,":",S32),Y32)+IF(F107=CONCATENATE(P34,":",S34),Y34)+IF(F107=CONCATENATE(P36,":",S36),Y36)</f>
        <v>0</v>
      </c>
      <c r="H107" s="70"/>
    </row>
    <row r="108" spans="2:8" s="64" customFormat="1" ht="15" x14ac:dyDescent="0.3">
      <c r="B108" s="68"/>
      <c r="C108" s="69"/>
      <c r="D108" s="69"/>
      <c r="E108" s="69"/>
      <c r="F108" s="77" t="s">
        <v>233</v>
      </c>
      <c r="G108" s="79">
        <f>IF(F108=CONCATENATE(G14,":",J14),Y14)+IF(F108=CONCATENATE(G16,":",J16),Y16)+IF(F108=CONCATENATE(G18,":",J18),Y18)+IF(F108=CONCATENATE(G20,":",J20),Y20)+IF(F108=CONCATENATE(G22,":",J22),Y22)+IF(F108=CONCATENATE(G24,":",J24),Y24)+IF(F108=CONCATENATE(G26,":",J26),Y26)+IF(F108=CONCATENATE(G28,":",J28),Y28)+IF(F108=CONCATENATE(P30,":",S30),Y30)+IF(F108=CONCATENATE(P32,":",S32),Y32)+IF(F108=CONCATENATE(P34,":",S34),Y34)+IF(F108=CONCATENATE(P36,":",S36),Y36)</f>
        <v>0</v>
      </c>
      <c r="H108" s="70"/>
    </row>
    <row r="109" spans="2:8" s="64" customFormat="1" ht="15" x14ac:dyDescent="0.3">
      <c r="B109" s="68"/>
      <c r="C109" s="69"/>
      <c r="D109" s="69"/>
      <c r="E109" s="69"/>
      <c r="F109" s="77" t="s">
        <v>292</v>
      </c>
      <c r="G109" s="79">
        <f>IF(F109=CONCATENATE(G14,":",J14),Y14)+IF(F109=CONCATENATE(G16,":",J16),Y16)+IF(F109=CONCATENATE(G18,":",J18),Y18)+IF(F109=CONCATENATE(G20,":",J20),Y20)+IF(F109=CONCATENATE(G22,":",J22),Y22)+IF(F109=CONCATENATE(G24,":",J24),Y24)+IF(F109=CONCATENATE(G26,":",J26),Y26)+IF(F109=CONCATENATE(G28,":",J28),Y28)+IF(F109=CONCATENATE(P30,":",S30),Y30)+IF(F109=CONCATENATE(P32,":",S32),Y32)+IF(F109=CONCATENATE(P34,":",S34),Y34)+IF(F109=CONCATENATE(P36,":",S36),Y36)</f>
        <v>0</v>
      </c>
      <c r="H109" s="70"/>
    </row>
    <row r="110" spans="2:8" s="64" customFormat="1" ht="15" x14ac:dyDescent="0.3">
      <c r="B110" s="68"/>
      <c r="C110" s="69"/>
      <c r="D110" s="69"/>
      <c r="E110" s="69"/>
      <c r="F110" s="77" t="s">
        <v>234</v>
      </c>
      <c r="G110" s="79">
        <f>IF(F110=CONCATENATE(G14,":",J14),Y14)+IF(F110=CONCATENATE(G16,":",J16),Y16)+IF(F110=CONCATENATE(G18,":",J18),Y18)+IF(F110=CONCATENATE(G20,":",J20),Y20)+IF(F110=CONCATENATE(G22,":",J22),Y22)+IF(F110=CONCATENATE(G24,":",J24),Y24)+IF(F110=CONCATENATE(G26,":",J26),Y26)+IF(F110=CONCATENATE(G28,":",J28),Y28)+IF(F110=CONCATENATE(P30,":",S30),Y30)+IF(F110=CONCATENATE(P32,":",S32),Y32)+IF(F110=CONCATENATE(P34,":",S34),Y34)+IF(F110=CONCATENATE(P36,":",S36),Y36)</f>
        <v>0</v>
      </c>
      <c r="H110" s="70"/>
    </row>
    <row r="111" spans="2:8" s="64" customFormat="1" ht="15" x14ac:dyDescent="0.3">
      <c r="B111" s="68"/>
      <c r="C111" s="69"/>
      <c r="D111" s="69"/>
      <c r="E111" s="69"/>
      <c r="F111" s="77" t="s">
        <v>235</v>
      </c>
      <c r="G111" s="79">
        <f>IF(F111=CONCATENATE(G14,":",J14),Y14)+IF(F111=CONCATENATE(G16,":",J16),Y16)+IF(F111=CONCATENATE(G18,":",J18),Y18)+IF(F111=CONCATENATE(G20,":",J20),Y20)+IF(F111=CONCATENATE(G22,":",J22),Y22)+IF(F111=CONCATENATE(G24,":",J24),Y24)+IF(F111=CONCATENATE(G26,":",J26),Y26)+IF(F111=CONCATENATE(G28,":",J28),Y28)+IF(F111=CONCATENATE(P30,":",S30),Y30)+IF(F111=CONCATENATE(P32,":",S32),Y32)+IF(F111=CONCATENATE(P34,":",S34),Y34)+IF(F111=CONCATENATE(P36,":",S36),Y36)</f>
        <v>0</v>
      </c>
      <c r="H111" s="70"/>
    </row>
    <row r="112" spans="2:8" s="64" customFormat="1" ht="15" x14ac:dyDescent="0.3">
      <c r="B112" s="68"/>
      <c r="C112" s="69"/>
      <c r="D112" s="69"/>
      <c r="E112" s="69"/>
      <c r="F112" s="77" t="s">
        <v>236</v>
      </c>
      <c r="G112" s="79">
        <f>IF(F112=CONCATENATE(G14,":",J14),Y14)+IF(F112=CONCATENATE(G16,":",J16),Y16)+IF(F112=CONCATENATE(G18,":",J18),Y18)+IF(F112=CONCATENATE(G20,":",J20),Y20)+IF(F112=CONCATENATE(G22,":",J22),Y22)+IF(F112=CONCATENATE(G24,":",J24),Y24)+IF(F112=CONCATENATE(G26,":",J26),Y26)+IF(F112=CONCATENATE(G28,":",J28),Y28)+IF(F112=CONCATENATE(P30,":",S30),Y30)+IF(F112=CONCATENATE(P32,":",S32),Y32)+IF(F112=CONCATENATE(P34,":",S34),Y34)+IF(F112=CONCATENATE(P36,":",S36),Y36)</f>
        <v>0</v>
      </c>
      <c r="H112" s="70"/>
    </row>
    <row r="113" spans="2:8" s="64" customFormat="1" ht="15" x14ac:dyDescent="0.3">
      <c r="B113" s="68"/>
      <c r="C113" s="69"/>
      <c r="D113" s="69"/>
      <c r="E113" s="69"/>
      <c r="F113" s="77" t="s">
        <v>237</v>
      </c>
      <c r="G113" s="79">
        <f>IF(F113=CONCATENATE(G14,":",J14),Y14)+IF(F113=CONCATENATE(G16,":",J16),Y16)+IF(F113=CONCATENATE(G18,":",J18),Y18)+IF(F113=CONCATENATE(G20,":",J20),Y20)+IF(F113=CONCATENATE(G22,":",J22),Y22)+IF(F113=CONCATENATE(G24,":",J24),Y24)+IF(F113=CONCATENATE(G26,":",J26),Y26)+IF(F113=CONCATENATE(G28,":",J28),Y28)+IF(F113=CONCATENATE(P30,":",S30),Y30)+IF(F113=CONCATENATE(P32,":",S32),Y32)+IF(F113=CONCATENATE(P34,":",S34),Y34)+IF(F113=CONCATENATE(P36,":",S36),Y36)</f>
        <v>0</v>
      </c>
      <c r="H113" s="70"/>
    </row>
    <row r="114" spans="2:8" s="64" customFormat="1" ht="15" x14ac:dyDescent="0.3">
      <c r="B114" s="68"/>
      <c r="C114" s="69"/>
      <c r="D114" s="69"/>
      <c r="E114" s="69"/>
      <c r="F114" s="77" t="s">
        <v>238</v>
      </c>
      <c r="G114" s="79">
        <f>IF(F114=CONCATENATE(G14,":",J14),Y14)+IF(F114=CONCATENATE(G16,":",J16),Y16)+IF(F114=CONCATENATE(G18,":",J18),Y18)+IF(F114=CONCATENATE(G20,":",J20),Y20)+IF(F114=CONCATENATE(G22,":",J22),Y22)+IF(F114=CONCATENATE(G24,":",J24),Y24)+IF(F114=CONCATENATE(G26,":",J26),Y26)+IF(F114=CONCATENATE(G28,":",J28),Y28)+IF(F114=CONCATENATE(P30,":",S30),Y30)+IF(F114=CONCATENATE(P32,":",S32),Y32)+IF(F114=CONCATENATE(P34,":",S34),Y34)+IF(F114=CONCATENATE(P36,":",S36),Y36)</f>
        <v>0</v>
      </c>
      <c r="H114" s="70"/>
    </row>
    <row r="115" spans="2:8" s="64" customFormat="1" ht="15" x14ac:dyDescent="0.3">
      <c r="B115" s="68"/>
      <c r="C115" s="69"/>
      <c r="D115" s="69"/>
      <c r="E115" s="69"/>
      <c r="F115" s="77" t="s">
        <v>239</v>
      </c>
      <c r="G115" s="79">
        <f>IF(F115=CONCATENATE(G14,":",J14),Y14)+IF(F115=CONCATENATE(G16,":",J16),Y16)+IF(F115=CONCATENATE(G18,":",J18),Y18)+IF(F115=CONCATENATE(G20,":",J20),Y20)+IF(F115=CONCATENATE(G22,":",J22),Y22)+IF(F115=CONCATENATE(G24,":",J24),Y24)+IF(F115=CONCATENATE(G26,":",J26),Y26)+IF(F115=CONCATENATE(G28,":",J28),Y28)+IF(F115=CONCATENATE(P30,":",S30),Y30)+IF(F115=CONCATENATE(P32,":",S32),Y32)+IF(F115=CONCATENATE(P34,":",S34),Y34)+IF(F115=CONCATENATE(P36,":",S36),Y36)</f>
        <v>0</v>
      </c>
      <c r="H115" s="70"/>
    </row>
    <row r="116" spans="2:8" s="64" customFormat="1" ht="15" x14ac:dyDescent="0.3">
      <c r="B116" s="68"/>
      <c r="C116" s="69"/>
      <c r="D116" s="69"/>
      <c r="E116" s="69"/>
      <c r="F116" s="77" t="s">
        <v>321</v>
      </c>
      <c r="G116" s="79">
        <f>IF(F116=CONCATENATE(G14,":",J14),Y14)+IF(F116=CONCATENATE(G16,":",J16),Y16)+IF(F116=CONCATENATE(G18,":",J18),Y18)+IF(F116=CONCATENATE(G20,":",J20),Y20)+IF(F116=CONCATENATE(G22,":",J22),Y22)+IF(F116=CONCATENATE(G24,":",J24),Y24)+IF(F116=CONCATENATE(G26,":",J26),Y26)+IF(F116=CONCATENATE(G28,":",J28),Y28)+IF(F116=CONCATENATE(P30,":",S30),Y30)+IF(F116=CONCATENATE(P32,":",S32),Y32)+IF(F116=CONCATENATE(P34,":",S34),Y34)+IF(F116=CONCATENATE(P36,":",S36),Y36)</f>
        <v>0</v>
      </c>
      <c r="H116" s="70"/>
    </row>
    <row r="117" spans="2:8" s="64" customFormat="1" ht="15" x14ac:dyDescent="0.3">
      <c r="B117" s="68"/>
      <c r="C117" s="69"/>
      <c r="D117" s="69"/>
      <c r="E117" s="69"/>
      <c r="F117" s="77" t="s">
        <v>240</v>
      </c>
      <c r="G117" s="79">
        <f>IF(F117=CONCATENATE(G14,":",J14),Y14)+IF(F117=CONCATENATE(G16,":",J16),Y16)+IF(F117=CONCATENATE(G18,":",J18),Y18)+IF(F117=CONCATENATE(G20,":",J20),Y20)+IF(F117=CONCATENATE(G22,":",J22),Y22)+IF(F117=CONCATENATE(G24,":",J24),Y24)+IF(F117=CONCATENATE(G26,":",J26),Y26)+IF(F117=CONCATENATE(G28,":",J28),Y28)+IF(F117=CONCATENATE(P30,":",S30),Y30)+IF(F117=CONCATENATE(P32,":",S32),Y32)+IF(F117=CONCATENATE(P34,":",S34),Y34)+IF(F117=CONCATENATE(P36,":",S36),Y36)</f>
        <v>0</v>
      </c>
      <c r="H117" s="70"/>
    </row>
    <row r="118" spans="2:8" s="64" customFormat="1" ht="15" x14ac:dyDescent="0.3">
      <c r="B118" s="68"/>
      <c r="C118" s="69"/>
      <c r="D118" s="69"/>
      <c r="E118" s="69"/>
      <c r="F118" s="77" t="s">
        <v>305</v>
      </c>
      <c r="G118" s="79">
        <f>IF(F118=CONCATENATE(G14,":",J14),Y14)+IF(F118=CONCATENATE(G16,":",J16),Y16)+IF(F118=CONCATENATE(G18,":",J18),Y18)+IF(F118=CONCATENATE(G20,":",J20),Y20)+IF(F118=CONCATENATE(G22,":",J22),Y22)+IF(F118=CONCATENATE(G24,":",J24),Y24)+IF(F118=CONCATENATE(G26,":",J26),Y26)+IF(F118=CONCATENATE(G28,":",J28),Y28)+IF(F118=CONCATENATE(P30,":",S30),Y30)+IF(F118=CONCATENATE(P32,":",S32),Y32)+IF(F118=CONCATENATE(P34,":",S34),Y34)+IF(F118=CONCATENATE(P36,":",S36),Y36)</f>
        <v>0</v>
      </c>
      <c r="H118" s="70"/>
    </row>
    <row r="119" spans="2:8" s="64" customFormat="1" ht="15" x14ac:dyDescent="0.3">
      <c r="B119" s="68"/>
      <c r="C119" s="69"/>
      <c r="D119" s="69"/>
      <c r="E119" s="69"/>
      <c r="F119" s="77" t="s">
        <v>244</v>
      </c>
      <c r="G119" s="79">
        <f>IF(F119=CONCATENATE(G14,":",J14),Y14)+IF(F119=CONCATENATE(G16,":",J16),Y16)+IF(F119=CONCATENATE(G18,":",J18),Y18)+IF(F119=CONCATENATE(G20,":",J20),Y20)+IF(F119=CONCATENATE(G22,":",J22),Y22)+IF(F119=CONCATENATE(G24,":",J24),Y24)+IF(F119=CONCATENATE(G26,":",J26),Y26)+IF(F119=CONCATENATE(G28,":",J28),Y28)+IF(F119=CONCATENATE(P30,":",S30),Y30)+IF(F119=CONCATENATE(P32,":",S32),Y32)+IF(F119=CONCATENATE(P34,":",S34),Y34)+IF(F119=CONCATENATE(P36,":",S36),Y36)</f>
        <v>0</v>
      </c>
      <c r="H119" s="70"/>
    </row>
    <row r="120" spans="2:8" s="64" customFormat="1" ht="15" x14ac:dyDescent="0.3">
      <c r="B120" s="68"/>
      <c r="C120" s="69"/>
      <c r="D120" s="69"/>
      <c r="E120" s="69"/>
      <c r="F120" s="77" t="s">
        <v>241</v>
      </c>
      <c r="G120" s="79">
        <f>IF(F120=CONCATENATE(G14,":",J14),Y14)+IF(F120=CONCATENATE(G16,":",J16),Y16)+IF(F120=CONCATENATE(G18,":",J18),Y18)+IF(F120=CONCATENATE(G20,":",J20),Y20)+IF(F120=CONCATENATE(G22,":",J22),Y22)+IF(F120=CONCATENATE(G24,":",J24),Y24)+IF(F120=CONCATENATE(G26,":",J26),Y26)+IF(F120=CONCATENATE(G28,":",J28),Y28)+IF(F120=CONCATENATE(P30,":",S30),Y30)+IF(F120=CONCATENATE(P32,":",S32),Y32)+IF(F120=CONCATENATE(P34,":",S34),Y34)+IF(F120=CONCATENATE(P36,":",S36),Y36)</f>
        <v>0</v>
      </c>
      <c r="H120" s="70"/>
    </row>
    <row r="121" spans="2:8" s="64" customFormat="1" ht="15" x14ac:dyDescent="0.3">
      <c r="B121" s="68"/>
      <c r="C121" s="69"/>
      <c r="D121" s="69"/>
      <c r="E121" s="69"/>
      <c r="F121" s="77" t="s">
        <v>317</v>
      </c>
      <c r="G121" s="79">
        <f>IF(F121=CONCATENATE(G14,":",J14),Y14)+IF(F121=CONCATENATE(G16,":",J16),Y16)+IF(F121=CONCATENATE(G18,":",J18),Y18)+IF(F121=CONCATENATE(G20,":",J20),Y20)+IF(F121=CONCATENATE(G22,":",J22),Y22)+IF(F121=CONCATENATE(G24,":",J24),Y24)+IF(F121=CONCATENATE(G26,":",J26),Y26)+IF(F121=CONCATENATE(G28,":",J28),Y28)+IF(F121=CONCATENATE(P30,":",S30),Y30)+IF(F121=CONCATENATE(P32,":",S32),Y32)+IF(F121=CONCATENATE(P34,":",S34),Y34)+IF(F121=CONCATENATE(P36,":",S36),Y36)</f>
        <v>0</v>
      </c>
      <c r="H121" s="70"/>
    </row>
    <row r="122" spans="2:8" s="64" customFormat="1" ht="15" x14ac:dyDescent="0.3">
      <c r="B122" s="68"/>
      <c r="C122" s="69"/>
      <c r="D122" s="69"/>
      <c r="E122" s="69"/>
      <c r="F122" s="77" t="s">
        <v>242</v>
      </c>
      <c r="G122" s="79">
        <f>IF(F122=CONCATENATE(G14,":",J14),Y14)+IF(F122=CONCATENATE(G16,":",J16),Y16)+IF(F122=CONCATENATE(G18,":",J18),Y18)+IF(F122=CONCATENATE(G20,":",J20),Y20)+IF(F122=CONCATENATE(G22,":",J22),Y22)+IF(F122=CONCATENATE(G24,":",J24),Y24)+IF(F122=CONCATENATE(G26,":",J26),Y26)+IF(F122=CONCATENATE(G28,":",J28),Y28)+IF(F122=CONCATENATE(P30,":",S30),Y30)+IF(F122=CONCATENATE(P32,":",S32),Y32)+IF(F122=CONCATENATE(P34,":",S34),Y34)+IF(F122=CONCATENATE(P36,":",S36),Y36)</f>
        <v>0</v>
      </c>
      <c r="H122" s="70"/>
    </row>
    <row r="123" spans="2:8" s="64" customFormat="1" ht="15" x14ac:dyDescent="0.3">
      <c r="B123" s="68"/>
      <c r="C123" s="69"/>
      <c r="D123" s="69"/>
      <c r="E123" s="69"/>
      <c r="F123" s="77" t="s">
        <v>322</v>
      </c>
      <c r="G123" s="79">
        <f>IF(F123=CONCATENATE(G14,":",J14),Y14)+IF(F123=CONCATENATE(G16,":",J16),Y16)+IF(F123=CONCATENATE(G18,":",J18),Y18)+IF(F123=CONCATENATE(G20,":",J20),Y20)+IF(F123=CONCATENATE(G22,":",J22),Y22)+IF(F123=CONCATENATE(G24,":",J24),Y24)+IF(F123=CONCATENATE(G26,":",J26),Y26)+IF(F123=CONCATENATE(G28,":",J28),Y28)+IF(F123=CONCATENATE(P30,":",S30),Y30)+IF(F123=CONCATENATE(P32,":",S32),Y32)+IF(F123=CONCATENATE(P34,":",S34),Y34)+IF(F123=CONCATENATE(P36,":",S36),Y36)</f>
        <v>0</v>
      </c>
      <c r="H123" s="70"/>
    </row>
    <row r="124" spans="2:8" s="64" customFormat="1" ht="15" x14ac:dyDescent="0.3">
      <c r="B124" s="68"/>
      <c r="C124" s="69"/>
      <c r="D124" s="69"/>
      <c r="E124" s="69"/>
      <c r="F124" s="77" t="s">
        <v>311</v>
      </c>
      <c r="G124" s="79">
        <f>IF(F124=CONCATENATE(G14,":",J14),Y14)+IF(F124=CONCATENATE(G16,":",J16),Y16)+IF(F124=CONCATENATE(G18,":",J18),Y18)+IF(F124=CONCATENATE(G20,":",J20),Y20)+IF(F124=CONCATENATE(G22,":",J22),Y22)+IF(F124=CONCATENATE(G24,":",J24),Y24)+IF(F124=CONCATENATE(G26,":",J26),Y26)+IF(F124=CONCATENATE(G28,":",J28),Y28)+IF(F124=CONCATENATE(P30,":",S30),Y30)+IF(F124=CONCATENATE(P32,":",S32),Y32)+IF(F124=CONCATENATE(P34,":",S34),Y34)+IF(F124=CONCATENATE(P36,":",S36),Y36)</f>
        <v>0</v>
      </c>
      <c r="H124" s="70"/>
    </row>
    <row r="125" spans="2:8" s="64" customFormat="1" ht="15" x14ac:dyDescent="0.3">
      <c r="B125" s="68"/>
      <c r="C125" s="69"/>
      <c r="D125" s="69"/>
      <c r="E125" s="69"/>
      <c r="F125" s="77" t="s">
        <v>243</v>
      </c>
      <c r="G125" s="79">
        <f>IF(F125=CONCATENATE(G14,":",J14),Y14)+IF(F125=CONCATENATE(G16,":",J16),Y16)+IF(F125=CONCATENATE(G18,":",J18),Y18)+IF(F125=CONCATENATE(G20,":",J20),Y20)+IF(F125=CONCATENATE(G22,":",J22),Y22)+IF(F125=CONCATENATE(G24,":",J24),Y24)+IF(F125=CONCATENATE(G26,":",J26),Y26)+IF(F125=CONCATENATE(G28,":",J28),Y28)+IF(F125=CONCATENATE(P30,":",S30),Y30)+IF(F125=CONCATENATE(P32,":",S32),Y32)+IF(F125=CONCATENATE(P34,":",S34),Y34)+IF(F125=CONCATENATE(P36,":",S36),Y36)</f>
        <v>0</v>
      </c>
      <c r="H125" s="70"/>
    </row>
    <row r="126" spans="2:8" s="64" customFormat="1" ht="15" x14ac:dyDescent="0.3">
      <c r="B126" s="68"/>
      <c r="C126" s="69"/>
      <c r="D126" s="69"/>
      <c r="E126" s="69"/>
      <c r="F126" s="77" t="s">
        <v>312</v>
      </c>
      <c r="G126" s="79">
        <f>IF(F126=CONCATENATE(G14,":",J14),Y14)+IF(F126=CONCATENATE(G16,":",J16),Y16)+IF(F126=CONCATENATE(G18,":",J18),Y18)+IF(F126=CONCATENATE(G20,":",J20),Y20)+IF(F126=CONCATENATE(G22,":",J22),Y22)+IF(F126=CONCATENATE(G24,":",J24),Y24)+IF(F126=CONCATENATE(G26,":",J26),Y26)+IF(F126=CONCATENATE(G28,":",J28),Y28)+IF(F126=CONCATENATE(P30,":",S30),Y30)+IF(F126=CONCATENATE(P32,":",S32),Y32)+IF(F126=CONCATENATE(P34,":",S34),Y34)+IF(F126=CONCATENATE(P36,":",S36),Y36)</f>
        <v>0</v>
      </c>
      <c r="H126" s="70"/>
    </row>
    <row r="127" spans="2:8" s="64" customFormat="1" ht="15" x14ac:dyDescent="0.3">
      <c r="B127" s="68"/>
      <c r="C127" s="69"/>
      <c r="D127" s="69"/>
      <c r="E127" s="69"/>
      <c r="F127" s="77" t="s">
        <v>313</v>
      </c>
      <c r="G127" s="79">
        <f>IF(F127=CONCATENATE(G14,":",J14),Y14)+IF(F127=CONCATENATE(G16,":",J16),Y16)+IF(F127=CONCATENATE(G18,":",J18),Y18)+IF(F127=CONCATENATE(G20,":",J20),Y20)+IF(F127=CONCATENATE(G22,":",J22),Y22)+IF(F127=CONCATENATE(G24,":",J24),Y24)+IF(F127=CONCATENATE(G26,":",J26),Y26)+IF(F127=CONCATENATE(G28,":",J28),Y28)+IF(F127=CONCATENATE(P30,":",S30),Y30)+IF(F127=CONCATENATE(P32,":",S32),Y32)+IF(F127=CONCATENATE(P34,":",S34),Y34)+IF(F127=CONCATENATE(P36,":",S36),Y36)</f>
        <v>0</v>
      </c>
      <c r="H127" s="70"/>
    </row>
    <row r="128" spans="2:8" s="64" customFormat="1" ht="15" x14ac:dyDescent="0.3">
      <c r="B128" s="68"/>
      <c r="C128" s="69"/>
      <c r="D128" s="69"/>
      <c r="E128" s="69"/>
      <c r="F128" s="77" t="s">
        <v>288</v>
      </c>
      <c r="G128" s="79">
        <f>IF(F128=CONCATENATE(G14,":",J14),Y14)+IF(F128=CONCATENATE(G16,":",J16),Y16)+IF(F128=CONCATENATE(G18,":",J18),Y18)+IF(F128=CONCATENATE(G20,":",J20),Y20)+IF(F128=CONCATENATE(G22,":",J22),Y22)+IF(F128=CONCATENATE(G24,":",J24),Y24)+IF(F128=CONCATENATE(G26,":",J26),Y26)+IF(F128=CONCATENATE(G28,":",J28),Y28)+IF(F128=CONCATENATE(P30,":",S30),Y30)+IF(F128=CONCATENATE(P32,":",S32),Y32)+IF(F128=CONCATENATE(P34,":",S34),Y34)+IF(F128=CONCATENATE(P36,":",S36),Y36)</f>
        <v>0</v>
      </c>
      <c r="H128" s="70"/>
    </row>
    <row r="129" spans="2:8" s="64" customFormat="1" ht="15" x14ac:dyDescent="0.3">
      <c r="B129" s="68"/>
      <c r="C129" s="69"/>
      <c r="D129" s="69"/>
      <c r="E129" s="69"/>
      <c r="F129" s="77" t="s">
        <v>245</v>
      </c>
      <c r="G129" s="79">
        <f>IF(F129=CONCATENATE(G14,":",J14),Y14)+IF(F129=CONCATENATE(G16,":",J16),Y16)+IF(F129=CONCATENATE(G18,":",J18),Y18)+IF(F129=CONCATENATE(G20,":",J20),Y20)+IF(F129=CONCATENATE(G22,":",J22),Y22)+IF(F129=CONCATENATE(G24,":",J24),Y24)+IF(F129=CONCATENATE(G26,":",J26),Y26)+IF(F129=CONCATENATE(G28,":",J28),Y28)+IF(F129=CONCATENATE(P30,":",S30),Y30)+IF(F129=CONCATENATE(P32,":",S32),Y32)+IF(F129=CONCATENATE(P34,":",S34),Y34)+IF(F129=CONCATENATE(P36,":",S36),Y36)</f>
        <v>0</v>
      </c>
      <c r="H129" s="70"/>
    </row>
    <row r="130" spans="2:8" s="64" customFormat="1" ht="15" x14ac:dyDescent="0.3">
      <c r="B130" s="68"/>
      <c r="C130" s="69"/>
      <c r="D130" s="69"/>
      <c r="E130" s="69"/>
      <c r="F130" s="77" t="s">
        <v>246</v>
      </c>
      <c r="G130" s="79">
        <f>IF(F130=CONCATENATE(G14,":",J14),Y14)+IF(F130=CONCATENATE(G16,":",J16),Y16)+IF(F130=CONCATENATE(G18,":",J18),Y18)+IF(F130=CONCATENATE(G20,":",J20),Y20)+IF(F130=CONCATENATE(G22,":",J22),Y22)+IF(F130=CONCATENATE(G24,":",J24),Y24)+IF(F130=CONCATENATE(G26,":",J26),Y26)+IF(F130=CONCATENATE(G28,":",J28),Y28)+IF(F130=CONCATENATE(P30,":",S30),Y30)+IF(F130=CONCATENATE(P32,":",S32),Y32)+IF(F130=CONCATENATE(P34,":",S34),Y34)+IF(F130=CONCATENATE(P36,":",S36),Y36)</f>
        <v>0</v>
      </c>
      <c r="H130" s="70"/>
    </row>
    <row r="131" spans="2:8" s="64" customFormat="1" ht="15" x14ac:dyDescent="0.3">
      <c r="B131" s="68"/>
      <c r="C131" s="69"/>
      <c r="D131" s="69"/>
      <c r="E131" s="69"/>
      <c r="F131" s="77" t="s">
        <v>247</v>
      </c>
      <c r="G131" s="79">
        <f>IF(F131=CONCATENATE(G14,":",J14),Y14)+IF(F131=CONCATENATE(G16,":",J16),Y16)+IF(F131=CONCATENATE(G18,":",J18),Y18)+IF(F131=CONCATENATE(G20,":",J20),Y20)+IF(F131=CONCATENATE(G22,":",J22),Y22)+IF(F131=CONCATENATE(G24,":",J24),Y24)+IF(F131=CONCATENATE(G26,":",J26),Y26)+IF(F131=CONCATENATE(G28,":",J28),Y28)+IF(F131=CONCATENATE(P30,":",S30),Y30)+IF(F131=CONCATENATE(P32,":",S32),Y32)+IF(F131=CONCATENATE(P34,":",S34),Y34)+IF(F131=CONCATENATE(P36,":",S36),Y36)</f>
        <v>0</v>
      </c>
      <c r="H131" s="70"/>
    </row>
    <row r="132" spans="2:8" s="64" customFormat="1" ht="15" x14ac:dyDescent="0.3">
      <c r="B132" s="68"/>
      <c r="C132" s="69"/>
      <c r="D132" s="69"/>
      <c r="E132" s="69"/>
      <c r="F132" s="77" t="s">
        <v>248</v>
      </c>
      <c r="G132" s="79">
        <f>IF(F132=CONCATENATE(G14,":",J14),Y14)+IF(F132=CONCATENATE(G16,":",J16),Y16)+IF(F132=CONCATENATE(G18,":",J18),Y18)+IF(F132=CONCATENATE(G20,":",J20),Y20)+IF(F132=CONCATENATE(G22,":",J22),Y22)+IF(F132=CONCATENATE(G24,":",J24),Y24)+IF(F132=CONCATENATE(G26,":",J26),Y26)+IF(F132=CONCATENATE(G28,":",J28),Y28)+IF(F132=CONCATENATE(P30,":",S30),Y30)+IF(F132=CONCATENATE(P32,":",S32),Y32)+IF(F132=CONCATENATE(P34,":",S34),Y34)+IF(F132=CONCATENATE(P36,":",S36),Y36)</f>
        <v>0</v>
      </c>
      <c r="H132" s="70"/>
    </row>
    <row r="133" spans="2:8" s="64" customFormat="1" ht="15" x14ac:dyDescent="0.3">
      <c r="B133" s="68"/>
      <c r="C133" s="69"/>
      <c r="D133" s="69"/>
      <c r="E133" s="69"/>
      <c r="F133" s="77" t="s">
        <v>249</v>
      </c>
      <c r="G133" s="79">
        <f>IF(F133=CONCATENATE(G14,":",J14),Y14)+IF(F133=CONCATENATE(G16,":",J16),Y16)+IF(F133=CONCATENATE(G18,":",J18),Y18)+IF(F133=CONCATENATE(G20,":",J20),Y20)+IF(F133=CONCATENATE(G22,":",J22),Y22)+IF(F133=CONCATENATE(G24,":",J24),Y24)+IF(F131=CONCATENATE(G26,":",J26),Y26)+IF(F133=CONCATENATE(G28,":",J28),Y28)+IF(F133=CONCATENATE(P30,":",S30),Y30)+IF(F133=CONCATENATE(P32,":",S32),Y32)+IF(F133=CONCATENATE(P34,":",S34),Y34)+IF(F133=CONCATENATE(P36,":",S36),Y36)</f>
        <v>0</v>
      </c>
      <c r="H133" s="70"/>
    </row>
    <row r="134" spans="2:8" s="64" customFormat="1" ht="15" x14ac:dyDescent="0.3">
      <c r="B134" s="68"/>
      <c r="C134" s="69"/>
      <c r="D134" s="69"/>
      <c r="E134" s="69"/>
      <c r="F134" s="77" t="s">
        <v>250</v>
      </c>
      <c r="G134" s="79">
        <f>IF(F134=CONCATENATE(G14,":",J14),Y14)+IF(F134=CONCATENATE(G16,":",J16),Y16)+IF(F134=CONCATENATE(G18,":",J18),Y18)+IF(F134=CONCATENATE(G20,":",J20),Y20)+IF(F134=CONCATENATE(G22,":",J22),Y22)+IF(F134=CONCATENATE(G24,":",J24),Y24)+IF(F132=CONCATENATE(G26,":",J26),Y26)+IF(F134=CONCATENATE(G28,":",J28),Y28)+IF(F134=CONCATENATE(P30,":",S30),Y30)+IF(F134=CONCATENATE(P32,":",S32),Y32)+IF(F134=CONCATENATE(P34,":",S34),Y34)+IF(F134=CONCATENATE(P36,":",S36),Y36)</f>
        <v>0</v>
      </c>
      <c r="H134" s="70"/>
    </row>
    <row r="135" spans="2:8" s="64" customFormat="1" ht="15" x14ac:dyDescent="0.3">
      <c r="B135" s="68"/>
      <c r="C135" s="69"/>
      <c r="D135" s="69"/>
      <c r="E135" s="69"/>
      <c r="F135" s="80" t="s">
        <v>251</v>
      </c>
      <c r="G135" s="79">
        <f>IF(F135=CONCATENATE(G14,":",J14),Y14)+IF(F135=CONCATENATE(G16,":",J16),Y16)+IF(F135=CONCATENATE(G18,":",J18),Y18)+IF(F135=CONCATENATE(G20,":",J20),Y20)+IF(F135=CONCATENATE(G22,":",J22),Y22)+IF(F135=CONCATENATE(G24,":",J24),Y24)+IF(F135=CONCATENATE(G26,":",J26),Y26)+IF(F135=CONCATENATE(G28,":",J28),Y28)+IF(F135=CONCATENATE(P30,":",S30),Y30)+IF(F135=CONCATENATE(P32,":",S32),Y32)+IF(F135=CONCATENATE(P34,":",S34),Y34)+IF(F135=CONCATENATE(P36,":",S36),Y36)</f>
        <v>0</v>
      </c>
      <c r="H135" s="70"/>
    </row>
    <row r="136" spans="2:8" s="64" customFormat="1" ht="15" x14ac:dyDescent="0.3">
      <c r="B136" s="68"/>
      <c r="F136" s="77" t="s">
        <v>314</v>
      </c>
      <c r="G136" s="79">
        <f>IF(F136=CONCATENATE(G14,":",J14),Y14)+IF(F136=CONCATENATE(G16,":",J16),Y16)+IF(F136=CONCATENATE(G18,":",J18),Y18)+IF(F136=CONCATENATE(G20,":",J20),Y20)+IF(F136=CONCATENATE(G22,":",J22),Y22)+IF(F136=CONCATENATE(G24,":",J24),Y24)+IF(F136=CONCATENATE(G26,":",J26),Y26)+IF(F136=CONCATENATE(G28,":",J28),Y28)+IF(F136=CONCATENATE(P30,":",S30),Y30)+IF(F136=CONCATENATE(P32,":",S32),Y32)+IF(F136=CONCATENATE(P34,":",S34),Y34)+IF(F136=CONCATENATE(P36,":",S36),Y36)</f>
        <v>0</v>
      </c>
      <c r="H136" s="70"/>
    </row>
    <row r="137" spans="2:8" s="64" customFormat="1" ht="15" x14ac:dyDescent="0.3">
      <c r="B137" s="68"/>
      <c r="F137" s="77" t="s">
        <v>252</v>
      </c>
      <c r="G137" s="79">
        <f>IF(F137=CONCATENATE(G14,":",J14),Y14)+IF(F137=CONCATENATE(G16,":",J16),Y16)+IF(F137=CONCATENATE(G18,":",J18),Y18)+IF(F137=CONCATENATE(G20,":",J20),Y20)+IF(F137=CONCATENATE(G22,":",J22),Y22)+IF(F137=CONCATENATE(G24,":",J24),Y24)+IF(F137=CONCATENATE(G26,":",J26),Y26)+IF(F137=CONCATENATE(G28,":",J28),Y28)+IF(F137=CONCATENATE(P30,":",S30),Y30)+IF(F137=CONCATENATE(P32,":",S32),Y32)+IF(F137=CONCATENATE(P34,":",S34),Y34)+IF(F137=CONCATENATE(P36,":",S36),Y36)</f>
        <v>0</v>
      </c>
      <c r="H137" s="70"/>
    </row>
    <row r="138" spans="2:8" s="64" customFormat="1" ht="15" x14ac:dyDescent="0.3">
      <c r="B138" s="68"/>
      <c r="F138" s="77" t="s">
        <v>294</v>
      </c>
      <c r="G138" s="79">
        <f>IF(F138=CONCATENATE(G14,":",J14),Y14)+IF(F138=CONCATENATE(G16,":",J16),Y16)+IF(F138=CONCATENATE(G18,":",J18),Y18)+IF(F138=CONCATENATE(G20,":",J20),Y20)+IF(F138=CONCATENATE(G22,":",J22),Y22)+IF(F138=CONCATENATE(G24,":",J24),Y24)+IF(F138=CONCATENATE(G26,":",J26),Y26)+IF(F138=CONCATENATE(G28,":",J28),Y28)+IF(F138=CONCATENATE(P30,":",S30),Y30)+IF(F138=CONCATENATE(P32,":",S32),Y32)+IF(F138=CONCATENATE(P34,":",S34),Y34)+IF(F138=CONCATENATE(P36,":",S36),Y36)</f>
        <v>3.5</v>
      </c>
      <c r="H138" s="70"/>
    </row>
    <row r="139" spans="2:8" s="64" customFormat="1" ht="15" x14ac:dyDescent="0.3">
      <c r="B139" s="68"/>
      <c r="F139" s="77" t="s">
        <v>315</v>
      </c>
      <c r="G139" s="79">
        <f>IF(F139=CONCATENATE(G14,":",J14),Y14)+IF(F139=CONCATENATE(G16,":",J16),Y16)+IF(F139=CONCATENATE(G18,":",J18),Y18)+IF(F139=CONCATENATE(G20,":",J20),Y20)+IF(F139=CONCATENATE(G22,":",J22),Y22)+IF(F139=CONCATENATE(G24,":",J24),Y24)+IF(F139=CONCATENATE(G26,":",J26),Y26)+IF(F139=CONCATENATE(G28,":",J28),Y28)+IF(F139=CONCATENATE(P30,":",S30),Y30)+IF(F139=CONCATENATE(P32,":",S32),Y32)+IF(F139=CONCATENATE(P34,":",S34),Y34)+IF(F139=CONCATENATE(P36,":",S36),Y36)</f>
        <v>0</v>
      </c>
      <c r="H139" s="70"/>
    </row>
    <row r="140" spans="2:8" s="64" customFormat="1" ht="15" x14ac:dyDescent="0.3">
      <c r="B140" s="68"/>
      <c r="F140" s="77" t="s">
        <v>319</v>
      </c>
      <c r="G140" s="79">
        <f>IF(F140=CONCATENATE(G14,":",J14),Y14)+IF(F140=CONCATENATE(G16,":",J16),Y16)+IF(F140=CONCATENATE(G18,":",J18),Y18)+IF(F140=CONCATENATE(G20,":",J20),Y20)+IF(F140=CONCATENATE(G22,":",J22),Y22)+IF(F140=CONCATENATE(G24,":",J24),Y24)+IF(F140=CONCATENATE(G26,":",J26),Y26)+IF(F140=CONCATENATE(G28,":",J28),Y28)+IF(F140=CONCATENATE(P30,":",S30),Y30)+IF(F140=CONCATENATE(P32,":",S32),Y32)+IF(F140=CONCATENATE(P34,":",S34),Y34)+IF(F140=CONCATENATE(P36,":",S36),Y36)</f>
        <v>0</v>
      </c>
      <c r="H140" s="70"/>
    </row>
    <row r="141" spans="2:8" s="64" customFormat="1" ht="15" x14ac:dyDescent="0.3">
      <c r="B141" s="68"/>
      <c r="F141" s="77" t="s">
        <v>282</v>
      </c>
      <c r="G141" s="79">
        <f>IF(F141=CONCATENATE(G14,":",J14),Y14)+IF(F141=CONCATENATE(G16,":",J16),Y16)+IF(F141=CONCATENATE(G18,":",J18),Y18)+IF(F141=CONCATENATE(G20,":",J20),Y20)+IF(F141=CONCATENATE(G22,":",J22),Y22)+IF(F141=CONCATENATE(G24,":",J24),Y24)+IF(F141=CONCATENATE(G26,":",J26),Y26)+IF(F141=CONCATENATE(G28,":",J28),Y28)+IF(F141=CONCATENATE(P30,":",S30),Y30)+IF(F141=CONCATENATE(P32,":",S32),Y32)+IF(F141=CONCATENATE(P34,":",S34),Y34)+IF(F141=CONCATENATE(P36,":",S36),Y36)</f>
        <v>0</v>
      </c>
      <c r="H141" s="70"/>
    </row>
    <row r="142" spans="2:8" s="64" customFormat="1" ht="15" x14ac:dyDescent="0.3">
      <c r="B142" s="71"/>
      <c r="C142" s="72"/>
      <c r="D142" s="72"/>
      <c r="E142" s="72"/>
      <c r="F142" s="81" t="s">
        <v>283</v>
      </c>
      <c r="G142" s="76">
        <f>IF(F142=CONCATENATE(G14,":",J14),Y14)+IF(F142=CONCATENATE(G16,":",J16),Y16)+IF(F142=CONCATENATE(G18,":",J18),Y18)+IF(F142=CONCATENATE(G20,":",J20),Y20)+IF(F142=CONCATENATE(G22,":",J22),Y22)+IF(F142=CONCATENATE(G24,":",J24),Y24)+IF(F142=CONCATENATE(G26,":",J26),Y26)+IF(F142=CONCATENATE(G28,":",J28),Y28)+IF(F142=CONCATENATE(P30,":",S30),Y30)+IF(F142=CONCATENATE(P32,":",S32),Y32)+IF(F142=CONCATENATE(P34,":",S34),Y34)+IF(F142=CONCATENATE(P36,":",S36),Y36)</f>
        <v>0</v>
      </c>
      <c r="H142" s="73"/>
    </row>
    <row r="143" spans="2:8" s="64" customFormat="1" x14ac:dyDescent="0.3"/>
  </sheetData>
  <mergeCells count="1">
    <mergeCell ref="D4:G4"/>
  </mergeCells>
  <dataValidations count="9">
    <dataValidation type="list" showInputMessage="1" showErrorMessage="1" error="please select from list values" prompt="select product when applicable" sqref="M14 M16 M18 M26 M32 M34 M36 M20 M22 M24 M30 M28">
      <formula1>IF(D14="Customer",Primary,INDIRECT("formdata!A2"))</formula1>
    </dataValidation>
    <dataValidation type="list" showInputMessage="1" showErrorMessage="1" error="please select from list values" prompt="select interaction when applicable" sqref="P14 P34 P32 P26 P18 P16 P36 P20 P22 P24 P30 P28">
      <formula1>IF(D14="Customer",Interaction,INDIRECT("formdata!A2"))</formula1>
    </dataValidation>
    <dataValidation type="list" showInputMessage="1" showErrorMessage="1" error="please select from list values" prompt="select sub-type when applicable" sqref="S14 S34 S32 S18 S26 S16 S36 S20 S22 S24 S30 S28">
      <formula1>IF(D14="Customer",INDIRECT(P14),INDIRECT(G14))</formula1>
    </dataValidation>
    <dataValidation type="list" allowBlank="1" showInputMessage="1" showErrorMessage="1" prompt="select CSA" sqref="D4">
      <formula1>Names</formula1>
    </dataValidation>
    <dataValidation type="date" operator="greaterThan" allowBlank="1" showInputMessage="1" showErrorMessage="1" prompt="enter date" sqref="D6">
      <formula1>42005</formula1>
    </dataValidation>
    <dataValidation type="list" allowBlank="1" showInputMessage="1" showErrorMessage="1" sqref="D5">
      <formula1>Names</formula1>
    </dataValidation>
    <dataValidation type="list" showInputMessage="1" showErrorMessage="1" error="please select from list values" prompt="please select category" sqref="G26 G16 G18 G32 G14 G34 G36 G20 G22 G24 G30 G28">
      <formula1>INDIRECT(D14)</formula1>
    </dataValidation>
    <dataValidation type="list" showInputMessage="1" showErrorMessage="1" sqref="D16 D32 D18 D26 D14 D34 D36 D20 D22 D24 D30 D28">
      <formula1>Utilizations</formula1>
    </dataValidation>
    <dataValidation type="list" showInputMessage="1" showErrorMessage="1" errorTitle="&lt;&lt;SELECTION ERROR&gt;&gt;" error="please select from list values" prompt="select customer when applicable" sqref="J22 J16 J18 J20 J24 J26 J28 J30 J32 J34 J36 J14">
      <formula1>IF(D14="Customer",INDIRECT(G14),IF(D14="Travel",ALL_Customers,INDIRECT("formdata!A2")))</formula1>
    </dataValidation>
  </dataValidations>
  <pageMargins left="0.7" right="0.7" top="0.75" bottom="0.75" header="0.3" footer="0.3"/>
  <pageSetup orientation="portrait" horizontalDpi="4294967293" verticalDpi="4294967293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Y143"/>
  <sheetViews>
    <sheetView zoomScaleNormal="100" workbookViewId="0"/>
  </sheetViews>
  <sheetFormatPr defaultRowHeight="14.4" x14ac:dyDescent="0.3"/>
  <cols>
    <col min="1" max="1" width="1.77734375" style="3" customWidth="1"/>
    <col min="2" max="2" width="14.77734375" style="3" customWidth="1"/>
    <col min="3" max="3" width="1.77734375" style="3" customWidth="1"/>
    <col min="4" max="4" width="14.77734375" style="3" customWidth="1"/>
    <col min="5" max="5" width="1.77734375" style="3" customWidth="1"/>
    <col min="6" max="6" width="2.77734375" style="3" customWidth="1"/>
    <col min="7" max="7" width="14.77734375" style="3" customWidth="1"/>
    <col min="8" max="8" width="1.77734375" style="3" customWidth="1"/>
    <col min="9" max="9" width="2.77734375" style="3" customWidth="1"/>
    <col min="10" max="10" width="20.77734375" style="3" customWidth="1"/>
    <col min="11" max="11" width="1.77734375" style="3" customWidth="1"/>
    <col min="12" max="12" width="2.77734375" style="3" customWidth="1"/>
    <col min="13" max="13" width="8.77734375" style="3" customWidth="1"/>
    <col min="14" max="14" width="1.77734375" style="3" customWidth="1"/>
    <col min="15" max="15" width="2.77734375" style="3" customWidth="1"/>
    <col min="16" max="16" width="14.77734375" style="3" customWidth="1"/>
    <col min="17" max="17" width="1.77734375" style="3" customWidth="1"/>
    <col min="18" max="18" width="2.77734375" style="3" customWidth="1"/>
    <col min="19" max="19" width="20.77734375" style="3" customWidth="1"/>
    <col min="20" max="20" width="1.77734375" style="3" customWidth="1"/>
    <col min="21" max="21" width="2.77734375" style="3" customWidth="1"/>
    <col min="22" max="22" width="46.77734375" style="3" customWidth="1"/>
    <col min="23" max="23" width="1.77734375" style="3" customWidth="1"/>
    <col min="24" max="24" width="2.77734375" style="3" customWidth="1"/>
    <col min="25" max="25" width="10.77734375" style="3" customWidth="1"/>
    <col min="26" max="26" width="2.77734375" style="3" customWidth="1"/>
    <col min="27" max="16384" width="8.88671875" style="3"/>
  </cols>
  <sheetData>
    <row r="1" spans="2:25" ht="7.95" customHeight="1" x14ac:dyDescent="0.3"/>
    <row r="2" spans="2:25" s="5" customFormat="1" ht="22.05" customHeight="1" x14ac:dyDescent="0.4">
      <c r="B2" s="15" t="s">
        <v>201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2:25" ht="12" customHeight="1" x14ac:dyDescent="0.3"/>
    <row r="4" spans="2:25" s="5" customFormat="1" ht="18" customHeight="1" x14ac:dyDescent="0.35">
      <c r="B4" s="6" t="s">
        <v>0</v>
      </c>
      <c r="D4" s="82" t="s">
        <v>1</v>
      </c>
      <c r="E4" s="83"/>
      <c r="F4" s="83"/>
      <c r="G4" s="84"/>
    </row>
    <row r="5" spans="2:25" s="5" customFormat="1" ht="12" customHeight="1" x14ac:dyDescent="0.3">
      <c r="B5" s="6"/>
    </row>
    <row r="6" spans="2:25" ht="18" customHeight="1" x14ac:dyDescent="0.35">
      <c r="B6" s="6" t="s">
        <v>3</v>
      </c>
      <c r="D6" s="20">
        <f>MONDAY!D6+4</f>
        <v>42307</v>
      </c>
      <c r="G6" s="13" t="str">
        <f>UPPER(TEXT(D6,"DDDD"))</f>
        <v>FRIDAY</v>
      </c>
    </row>
    <row r="7" spans="2:25" ht="12" customHeight="1" x14ac:dyDescent="0.3"/>
    <row r="8" spans="2:25" s="5" customFormat="1" ht="18" customHeight="1" x14ac:dyDescent="0.3">
      <c r="B8" s="6" t="s">
        <v>27</v>
      </c>
      <c r="D8" s="16">
        <f>SUM(Y14:Y34)</f>
        <v>7</v>
      </c>
      <c r="P8" s="6"/>
      <c r="V8" s="6"/>
      <c r="Y8" s="7"/>
    </row>
    <row r="9" spans="2:25" s="5" customFormat="1" ht="12" customHeight="1" x14ac:dyDescent="0.3">
      <c r="B9" s="6"/>
      <c r="P9" s="6"/>
      <c r="V9" s="6"/>
      <c r="Y9" s="7"/>
    </row>
    <row r="10" spans="2:25" ht="42" customHeight="1" x14ac:dyDescent="0.3"/>
    <row r="11" spans="2:25" ht="4.9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</row>
    <row r="12" spans="2:25" s="11" customFormat="1" ht="15.6" x14ac:dyDescent="0.3">
      <c r="B12" s="9" t="s">
        <v>4</v>
      </c>
      <c r="C12" s="9"/>
      <c r="D12" s="9" t="s">
        <v>5</v>
      </c>
      <c r="E12" s="9"/>
      <c r="F12" s="9"/>
      <c r="G12" s="10" t="s">
        <v>10</v>
      </c>
      <c r="H12" s="9"/>
      <c r="I12" s="9"/>
      <c r="J12" s="9" t="s">
        <v>11</v>
      </c>
      <c r="K12" s="9"/>
      <c r="L12" s="9"/>
      <c r="M12" s="9" t="s">
        <v>23</v>
      </c>
      <c r="N12" s="9"/>
      <c r="P12" s="10" t="s">
        <v>28</v>
      </c>
      <c r="Q12" s="9"/>
      <c r="R12" s="9"/>
      <c r="S12" s="9" t="s">
        <v>29</v>
      </c>
      <c r="T12" s="9"/>
      <c r="V12" s="10" t="s">
        <v>92</v>
      </c>
      <c r="W12" s="9"/>
      <c r="Y12" s="9" t="s">
        <v>12</v>
      </c>
    </row>
    <row r="13" spans="2:25" ht="4.9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2:25" s="14" customFormat="1" x14ac:dyDescent="0.3">
      <c r="B14" s="26">
        <v>1</v>
      </c>
      <c r="D14" s="26" t="s">
        <v>6</v>
      </c>
      <c r="E14" s="26"/>
      <c r="F14" s="26"/>
      <c r="G14" s="26" t="s">
        <v>17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80</v>
      </c>
      <c r="T14" s="26"/>
      <c r="U14" s="26"/>
      <c r="V14" s="58"/>
      <c r="W14" s="26"/>
      <c r="X14" s="26"/>
      <c r="Y14" s="29">
        <v>1</v>
      </c>
    </row>
    <row r="15" spans="2:25" ht="4.95" customHeight="1" x14ac:dyDescent="0.3">
      <c r="B15" s="27"/>
      <c r="C15" s="12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60"/>
      <c r="W15" s="27"/>
      <c r="X15" s="27"/>
      <c r="Y15" s="30"/>
    </row>
    <row r="16" spans="2:25" s="14" customFormat="1" x14ac:dyDescent="0.3">
      <c r="B16" s="26">
        <v>2</v>
      </c>
      <c r="D16" s="26" t="s">
        <v>7</v>
      </c>
      <c r="E16" s="26"/>
      <c r="F16" s="26"/>
      <c r="G16" s="26" t="s">
        <v>35</v>
      </c>
      <c r="H16" s="26"/>
      <c r="I16" s="26"/>
      <c r="J16" s="26" t="s">
        <v>293</v>
      </c>
      <c r="K16" s="26"/>
      <c r="L16" s="26"/>
      <c r="M16" s="26" t="s">
        <v>202</v>
      </c>
      <c r="N16" s="26"/>
      <c r="O16" s="26"/>
      <c r="P16" s="26" t="s">
        <v>23</v>
      </c>
      <c r="Q16" s="26"/>
      <c r="R16" s="26"/>
      <c r="S16" s="26" t="s">
        <v>181</v>
      </c>
      <c r="T16" s="26"/>
      <c r="U16" s="26"/>
      <c r="V16" s="58" t="s">
        <v>337</v>
      </c>
      <c r="W16" s="26"/>
      <c r="X16" s="26"/>
      <c r="Y16" s="29">
        <v>1.5</v>
      </c>
    </row>
    <row r="17" spans="2:25" ht="4.95" customHeight="1" x14ac:dyDescent="0.3">
      <c r="B17" s="27"/>
      <c r="C17" s="12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60"/>
      <c r="W17" s="27"/>
      <c r="X17" s="27"/>
      <c r="Y17" s="30"/>
    </row>
    <row r="18" spans="2:25" s="14" customFormat="1" x14ac:dyDescent="0.3">
      <c r="B18" s="26">
        <v>3</v>
      </c>
      <c r="D18" s="26" t="s">
        <v>6</v>
      </c>
      <c r="E18" s="26"/>
      <c r="F18" s="26"/>
      <c r="G18" s="26" t="s">
        <v>19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105</v>
      </c>
      <c r="T18" s="26"/>
      <c r="U18" s="26"/>
      <c r="V18" s="58" t="s">
        <v>338</v>
      </c>
      <c r="W18" s="26"/>
      <c r="X18" s="26"/>
      <c r="Y18" s="29">
        <v>0.5</v>
      </c>
    </row>
    <row r="19" spans="2:25" ht="4.95" customHeight="1" x14ac:dyDescent="0.3">
      <c r="B19" s="27"/>
      <c r="C19" s="12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60"/>
      <c r="W19" s="27"/>
      <c r="X19" s="27"/>
      <c r="Y19" s="30"/>
    </row>
    <row r="20" spans="2:25" s="14" customFormat="1" x14ac:dyDescent="0.3">
      <c r="B20" s="26">
        <v>4</v>
      </c>
      <c r="D20" s="26" t="s">
        <v>6</v>
      </c>
      <c r="E20" s="26"/>
      <c r="F20" s="26"/>
      <c r="G20" s="26" t="s">
        <v>20</v>
      </c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 t="s">
        <v>35</v>
      </c>
      <c r="T20" s="26"/>
      <c r="U20" s="26"/>
      <c r="V20" s="58" t="s">
        <v>341</v>
      </c>
      <c r="W20" s="26"/>
      <c r="X20" s="26"/>
      <c r="Y20" s="29">
        <v>3</v>
      </c>
    </row>
    <row r="21" spans="2:25" ht="4.95" customHeight="1" x14ac:dyDescent="0.3">
      <c r="B21" s="27"/>
      <c r="C21" s="12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60"/>
      <c r="W21" s="27"/>
      <c r="X21" s="27"/>
      <c r="Y21" s="30"/>
    </row>
    <row r="22" spans="2:25" s="14" customFormat="1" x14ac:dyDescent="0.3">
      <c r="B22" s="26">
        <v>5</v>
      </c>
      <c r="D22" s="26" t="s">
        <v>9</v>
      </c>
      <c r="E22" s="26"/>
      <c r="F22" s="26"/>
      <c r="G22" s="26" t="s">
        <v>166</v>
      </c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58" t="s">
        <v>339</v>
      </c>
      <c r="W22" s="26"/>
      <c r="X22" s="26"/>
      <c r="Y22" s="29">
        <v>1</v>
      </c>
    </row>
    <row r="23" spans="2:25" ht="4.95" customHeight="1" x14ac:dyDescent="0.3">
      <c r="B23" s="27"/>
      <c r="C23" s="12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60"/>
      <c r="W23" s="27"/>
      <c r="X23" s="27"/>
      <c r="Y23" s="30"/>
    </row>
    <row r="24" spans="2:25" s="14" customFormat="1" x14ac:dyDescent="0.3">
      <c r="B24" s="26">
        <v>6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58"/>
      <c r="W24" s="26"/>
      <c r="X24" s="26"/>
      <c r="Y24" s="29">
        <v>0</v>
      </c>
    </row>
    <row r="25" spans="2:25" ht="4.95" customHeight="1" x14ac:dyDescent="0.3">
      <c r="B25" s="27"/>
      <c r="C25" s="12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60"/>
      <c r="W25" s="27"/>
      <c r="X25" s="27"/>
      <c r="Y25" s="30"/>
    </row>
    <row r="26" spans="2:25" s="14" customFormat="1" x14ac:dyDescent="0.3">
      <c r="B26" s="26">
        <v>7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58"/>
      <c r="W26" s="26"/>
      <c r="X26" s="26"/>
      <c r="Y26" s="29">
        <v>0</v>
      </c>
    </row>
    <row r="27" spans="2:25" ht="4.95" customHeight="1" x14ac:dyDescent="0.3">
      <c r="B27" s="27"/>
      <c r="C27" s="12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60"/>
      <c r="W27" s="27"/>
      <c r="X27" s="27"/>
      <c r="Y27" s="30"/>
    </row>
    <row r="28" spans="2:25" s="14" customFormat="1" x14ac:dyDescent="0.3">
      <c r="B28" s="26">
        <v>8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58"/>
      <c r="W28" s="26"/>
      <c r="X28" s="26"/>
      <c r="Y28" s="29">
        <v>0</v>
      </c>
    </row>
    <row r="29" spans="2:25" ht="4.95" customHeight="1" x14ac:dyDescent="0.3">
      <c r="B29" s="27"/>
      <c r="C29" s="12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60"/>
      <c r="W29" s="27"/>
      <c r="X29" s="27"/>
      <c r="Y29" s="30"/>
    </row>
    <row r="30" spans="2:25" s="14" customFormat="1" x14ac:dyDescent="0.3">
      <c r="B30" s="26">
        <v>9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58"/>
      <c r="W30" s="26"/>
      <c r="X30" s="26"/>
      <c r="Y30" s="29">
        <v>0</v>
      </c>
    </row>
    <row r="31" spans="2:25" ht="4.95" customHeight="1" x14ac:dyDescent="0.3">
      <c r="B31" s="27"/>
      <c r="C31" s="12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60"/>
      <c r="W31" s="27"/>
      <c r="X31" s="27"/>
      <c r="Y31" s="30"/>
    </row>
    <row r="32" spans="2:25" s="14" customFormat="1" x14ac:dyDescent="0.3">
      <c r="B32" s="26">
        <v>10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58"/>
      <c r="W32" s="26"/>
      <c r="X32" s="26"/>
      <c r="Y32" s="29">
        <v>0</v>
      </c>
    </row>
    <row r="33" spans="2:25" ht="4.95" customHeight="1" x14ac:dyDescent="0.3">
      <c r="B33" s="27"/>
      <c r="C33" s="12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60"/>
      <c r="W33" s="27"/>
      <c r="X33" s="27"/>
      <c r="Y33" s="30"/>
    </row>
    <row r="34" spans="2:25" s="14" customFormat="1" x14ac:dyDescent="0.3">
      <c r="B34" s="26">
        <v>11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58"/>
      <c r="W34" s="26"/>
      <c r="X34" s="26"/>
      <c r="Y34" s="29">
        <v>0</v>
      </c>
    </row>
    <row r="35" spans="2:25" ht="4.95" customHeight="1" x14ac:dyDescent="0.3">
      <c r="B35" s="27"/>
      <c r="C35" s="12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60"/>
      <c r="W35" s="27"/>
      <c r="X35" s="27"/>
      <c r="Y35" s="30"/>
    </row>
    <row r="36" spans="2:25" s="14" customFormat="1" x14ac:dyDescent="0.3">
      <c r="B36" s="26">
        <v>12</v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58"/>
      <c r="W36" s="26"/>
      <c r="X36" s="26"/>
      <c r="Y36" s="29">
        <v>0</v>
      </c>
    </row>
    <row r="37" spans="2:25" ht="4.95" customHeight="1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2:25" ht="4.95" customHeight="1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</row>
    <row r="39" spans="2:25" ht="37.950000000000003" customHeight="1" x14ac:dyDescent="0.3"/>
    <row r="45" spans="2:25" x14ac:dyDescent="0.3">
      <c r="B45" s="19" t="s">
        <v>210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ht="4.95" customHeight="1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2:25" ht="15" x14ac:dyDescent="0.3">
      <c r="B47" s="31"/>
      <c r="C47" s="43" t="s">
        <v>204</v>
      </c>
      <c r="D47" s="74">
        <f>IF(M14=C47,Y14) + IF(M16=C47,Y16) + IF(M18=C47,Y18) + IF(M20=C47,Y20) + IF(M22=C47,Y22) + IF(M24=C47,Y24) + IF(M26=C47,Y26) + IF(M28=C47,Y28) + IF(M30=C47,Y30) + IF(M32=C47,Y32) + IF(M34=C47,Y34) + IF(M36=C47,Y36)</f>
        <v>0</v>
      </c>
      <c r="E47" s="33"/>
      <c r="I47" s="18"/>
    </row>
    <row r="48" spans="2:25" ht="15" x14ac:dyDescent="0.3">
      <c r="B48" s="34"/>
      <c r="C48" s="44" t="s">
        <v>202</v>
      </c>
      <c r="D48" s="75">
        <f>IF(M14=C48,Y14) + IF(M16=C48,Y16) + IF(M18=C48,Y18) + IF(M20=C48,Y20) + IF(M22=C48,Y22) + IF(M24=C48,Y24) + IF(M26=C48,Y26) + IF(M28=C48,Y28) + IF(M30=C48,Y30) + IF(M32=C48,Y32) + IF(M34=C48,Y34) + IF(M36=C48,Y36)</f>
        <v>1.5</v>
      </c>
      <c r="E48" s="36"/>
      <c r="I48" s="18"/>
    </row>
    <row r="49" spans="2:9" ht="15" x14ac:dyDescent="0.3">
      <c r="B49" s="34"/>
      <c r="C49" s="44" t="s">
        <v>203</v>
      </c>
      <c r="D49" s="75">
        <f>IF(M14=C49,Y14) + IF(M16=C49,Y16) + IF(M18=C49,Y18) + IF(M20=C49,Y20) + IF(M22=C49,Y22) + IF(M24=C49,Y24) + IF(M26=C49,Y26) + IF(M28=C49,Y28) + IF(M30=C49,Y30) + IF(M32=C49,Y32) + IF(M34=C49,Y34) + IF(M36=C49,Y36)</f>
        <v>0</v>
      </c>
      <c r="E49" s="36"/>
      <c r="I49" s="18"/>
    </row>
    <row r="50" spans="2:9" ht="15" x14ac:dyDescent="0.3">
      <c r="B50" s="34"/>
      <c r="C50" s="44" t="s">
        <v>162</v>
      </c>
      <c r="D50" s="75">
        <f>IF(M14=C50,Y14) + IF(M16=C50,Y16) + IF(M18=C50,Y18) + IF(M20=C50,Y20) + IF(M22=C50,Y22) + IF(M24=C50,Y24) + IF(M26=C50,Y26) + IF(M28=C50,Y28) + IF(M30=C50,Y30) + IF(M32=C50,Y32) + IF(M34=C50,Y34) + IF(M36=C50,Y36)</f>
        <v>0</v>
      </c>
      <c r="E50" s="36"/>
      <c r="I50" s="18"/>
    </row>
    <row r="51" spans="2:9" ht="15" x14ac:dyDescent="0.3">
      <c r="B51" s="34"/>
      <c r="C51" s="44" t="s">
        <v>209</v>
      </c>
      <c r="D51" s="75">
        <f>IF(M14=C51,Y14) + IF(M16=C51,Y16) + IF(M18=C51,Y18) + IF(M20=C51,Y20) + IF(M22=C51,Y22) + IF(M24=C51,Y24) + IF(M26=C51,Y26) + IF(M28=C51,Y28) + IF(M30=C51,Y30) + IF(M32=C51,Y32) + IF(M34=C51,Y34) + IF(M36=C51,Y36)</f>
        <v>0</v>
      </c>
      <c r="E51" s="36"/>
    </row>
    <row r="52" spans="2:9" ht="15" x14ac:dyDescent="0.3">
      <c r="B52" s="34"/>
      <c r="C52" s="44" t="s">
        <v>127</v>
      </c>
      <c r="D52" s="75">
        <f>IF(M14=C52,Y14) + IF(M16=C52,Y16) + IF(M18=C52,Y18) + IF(M20=C52,Y20) + IF(M22=C52,Y22) + IF(M24=C52,Y24) + IF(M26=C52,Y26) + IF(M28=C52,Y28) + IF(M30=C52,Y30) + IF(M32=C52,Y32) + IF(M34=C52,Y34) + IF(M36=C52,Y36)</f>
        <v>0</v>
      </c>
      <c r="E52" s="36"/>
    </row>
    <row r="53" spans="2:9" ht="15" x14ac:dyDescent="0.3">
      <c r="B53" s="34"/>
      <c r="C53" s="44" t="s">
        <v>206</v>
      </c>
      <c r="D53" s="75">
        <f>IF(M14=C53,Y14) + IF(M16=C53,Y16) + IF(M18=C53,Y18) + IF(M20=C53,Y20) + IF(M22=C53,Y22) + IF(M24=C53,Y24) + IF(M26=C53,Y26) + IF(M28=C53,Y28) + IF(M30=C53,Y30) + IF(M32=C53,Y32) + IF(M34=C53,Y34) + IF(M36=C53,Y36)</f>
        <v>0</v>
      </c>
      <c r="E53" s="36"/>
    </row>
    <row r="54" spans="2:9" ht="15" x14ac:dyDescent="0.3">
      <c r="B54" s="37"/>
      <c r="C54" s="45" t="s">
        <v>207</v>
      </c>
      <c r="D54" s="76">
        <f>IF(M14=C54,Y14) + IF(M16=C54,Y16) + IF(M18=C54,Y18) + IF(M20=C54,Y20) + IF(M22=C54,Y22) + IF(M24=C54,Y24) + IF(M26=C54,Y26) + IF(M28=C54,Y28) + IF(M30=C54,Y30) + IF(M32=C54,Y32) + IF(M34=C54,Y34) + IF(M36=C54,Y36)</f>
        <v>0</v>
      </c>
      <c r="E54" s="39"/>
    </row>
    <row r="57" spans="2:9" ht="15" x14ac:dyDescent="0.3">
      <c r="B57" s="31"/>
      <c r="C57" s="43" t="s">
        <v>7</v>
      </c>
      <c r="D57" s="74">
        <f>IF(D14=C57,Y14) + IF(D16=C57,Y16) + IF(D18=C57,Y18) + IF(D20=C57,Y20) + IF(D22=C57,Y22) + IF(D24=C57,Y24) + IF(D26=C57,Y26) + IF(D28=C57,Y28) + IF(D30=C57,Y30) + IF(D32=C57,Y32) + IF(D34=C57,Y34) + IF(D36=C57,Y36)</f>
        <v>1.5</v>
      </c>
      <c r="E57" s="33"/>
    </row>
    <row r="58" spans="2:9" ht="15" x14ac:dyDescent="0.3">
      <c r="B58" s="34"/>
      <c r="C58" s="44" t="s">
        <v>6</v>
      </c>
      <c r="D58" s="75">
        <f>IF(D14=C58,Y14) + IF(D16=C58,Y16) + IF(D18=C58,Y18) + IF(D20=C58,Y20) + IF(D22=C58,Y22) + IF(D24=C58,Y24) + IF(D26=C58,Y26) + IF(D28=C58,Y28) + IF(D30=C58,Y30) + IF(D32=C58,Y32) + IF(D34=C58,Y34) + IF(D36=C58,Y36)</f>
        <v>4.5</v>
      </c>
      <c r="E58" s="36"/>
    </row>
    <row r="59" spans="2:9" ht="15" x14ac:dyDescent="0.3">
      <c r="B59" s="34"/>
      <c r="C59" s="44" t="s">
        <v>9</v>
      </c>
      <c r="D59" s="75">
        <f>IF(D14=C59,Y14) + IF(D16=C59,Y16) + IF(D18=C59,Y18) + IF(D20=C59,Y20) + IF(D22=C59,Y22) + IF(D24=C59,Y24) + IF(D26=C59,Y26) + IF(D28=C59,Y28) + IF(D30=C59,Y30) + IF(D32=C59,Y32) + IF(D34=C59,Y34) + IF(D36=C59,Y36)</f>
        <v>1</v>
      </c>
      <c r="E59" s="36"/>
    </row>
    <row r="60" spans="2:9" ht="15" x14ac:dyDescent="0.3">
      <c r="B60" s="37"/>
      <c r="C60" s="45" t="s">
        <v>8</v>
      </c>
      <c r="D60" s="76">
        <f>IF(D14=C60,Y14) + IF(D16=C60,Y16) + IF(D18=C60,Y18) + IF(D20=C60,Y20) + IF(D22=C60,Y22) + IF(D24=C60,Y24) + IF(D26=C60,Y26) + IF(D28=C60,Y28) + IF(D30=C60,Y30) + IF(D32=C60,Y32) + IF(D34=C60,Y34) + IF(D36=C60,Y36)</f>
        <v>0</v>
      </c>
      <c r="E60" s="39"/>
    </row>
    <row r="63" spans="2:9" ht="15" x14ac:dyDescent="0.3">
      <c r="B63" s="31"/>
      <c r="C63" s="32"/>
      <c r="D63" s="32"/>
      <c r="E63" s="32"/>
      <c r="F63" s="40" t="s">
        <v>253</v>
      </c>
      <c r="G63" s="74">
        <f>IF(F63=CONCATENATE(P14,":",S14),Y14)+IF(F63=CONCATENATE(P16,":",S16),Y16)+IF(F63=CONCATENATE(P18,":",S18),Y18)+IF(F63=CONCATENATE(P20,":",S20),Y20)+IF(F63=CONCATENATE(P22,":",S22),Y22)+IF(F63=CONCATENATE(P24,":",S24),Y24)+IF(F63=CONCATENATE(P26,":",S26),Y26)+IF(F63=CONCATENATE(P28,":",S28),Y28)+IF(F63=CONCATENATE(P30,":",S30),Y30)+IF(F63=CONCATENATE(P32,":",S32),Y32)+IF(F63=CONCATENATE(P34,":",S34),Y34)+IF(F63=CONCATENATE(P36,":",S36),Y36)+IF(F63=CONCATENATE(P36,":",S36),Y36)</f>
        <v>0</v>
      </c>
      <c r="H63" s="33"/>
    </row>
    <row r="64" spans="2:9" ht="15" x14ac:dyDescent="0.3">
      <c r="B64" s="34"/>
      <c r="C64" s="35"/>
      <c r="D64" s="35"/>
      <c r="E64" s="35"/>
      <c r="F64" s="41" t="s">
        <v>254</v>
      </c>
      <c r="G64" s="75">
        <f>IF(F64=CONCATENATE(P14,":",S14),Y14)+IF(F64=CONCATENATE(P16,":",S16),Y16)+IF(F64=CONCATENATE(P18,":",S18),Y18)+IF(F64=CONCATENATE(P20,":",S20),Y20)+IF(F64=CONCATENATE(P22,":",S22),Y22)+IF(F64=CONCATENATE(P24,":",S24),Y24)+IF(F64=CONCATENATE(P26,":",S26),Y26)+IF(F64=CONCATENATE(P28,":",S28),Y28)+IF(F64=CONCATENATE(P30,":",S30),Y30)+IF(F64=CONCATENATE(P32,":",S32),Y32)+IF(F64=CONCATENATE(P34,":",S34),Y34)+IF(F64=CONCATENATE(P36,":",S36),Y36)+IF(F64=CONCATENATE(P36,":",S36),Y36)</f>
        <v>0</v>
      </c>
      <c r="H64" s="36"/>
    </row>
    <row r="65" spans="2:8" ht="15" x14ac:dyDescent="0.3">
      <c r="B65" s="34"/>
      <c r="C65" s="35"/>
      <c r="D65" s="35"/>
      <c r="E65" s="35"/>
      <c r="F65" s="41" t="s">
        <v>255</v>
      </c>
      <c r="G65" s="75">
        <f>IF(F65=CONCATENATE(P14,":",S14),Y14)+IF(F65=CONCATENATE(P16,":",S16),Y16)+IF(F65=CONCATENATE(P18,":",S18),Y18)+IF(F65=CONCATENATE(P20,":",S20),Y20)+IF(F65=CONCATENATE(P22,":",S22),Y22)+IF(F65=CONCATENATE(P24,":",S24),Y24)+IF(F65=CONCATENATE(P26,":",S26),Y26)+IF(F65=CONCATENATE(P28,":",S28),Y28)+IF(F65=CONCATENATE(P30,":",S30),Y30)+IF(F65=CONCATENATE(P32,":",S32),Y32)+IF(F65=CONCATENATE(P34,":",S34),Y34)+IF(F65=CONCATENATE(P36,":",S36),Y36)+IF(F65=CONCATENATE(P36,":",S36),Y36)</f>
        <v>0</v>
      </c>
      <c r="H65" s="36"/>
    </row>
    <row r="66" spans="2:8" ht="15" x14ac:dyDescent="0.3">
      <c r="B66" s="34"/>
      <c r="C66" s="35"/>
      <c r="D66" s="35"/>
      <c r="E66" s="35"/>
      <c r="F66" s="41" t="s">
        <v>297</v>
      </c>
      <c r="G66" s="75">
        <f>IF(F66=CONCATENATE(P14,":",S14),Y14)+IF(F66=CONCATENATE(P16,":",S16),Y16)+IF(F66=CONCATENATE(P18,":",S18),Y18)+IF(F66=CONCATENATE(P20,":",S20),Y20)+IF(F66=CONCATENATE(P22,":",S22),Y22)+IF(F66=CONCATENATE(P24,":",S24),Y24)+IF(F66=CONCATENATE(P26,":",S26),Y26)+IF(F66=CONCATENATE(P28,":",S28),Y28)+IF(F66=CONCATENATE(P30,":",S30),Y30)+IF(F66=CONCATENATE(P32,":",S32),Y32)+IF(F66=CONCATENATE(P34,":",S34),Y34)+IF(F66=CONCATENATE(P36,":",S36),Y36)+IF(F66=CONCATENATE(P36,":",S36),Y36)</f>
        <v>0</v>
      </c>
      <c r="H66" s="36"/>
    </row>
    <row r="67" spans="2:8" s="64" customFormat="1" ht="15" x14ac:dyDescent="0.3">
      <c r="B67" s="68"/>
      <c r="C67" s="69"/>
      <c r="D67" s="69"/>
      <c r="E67" s="69"/>
      <c r="F67" s="41" t="s">
        <v>256</v>
      </c>
      <c r="G67" s="75">
        <f>IF(F67=CONCATENATE(P14,":",S14),Y14)+IF(F67=CONCATENATE(P16,":",S16),Y16)+IF(F67=CONCATENATE(P18,":",S18),Y18)+IF(F67=CONCATENATE(P20,":",S20),Y20)+IF(F67=CONCATENATE(P22,":",S22),Y22)+IF(F67=CONCATENATE(P24,":",S24),Y24)+IF(F67=CONCATENATE(P26,":",S26),Y26)+IF(F67=CONCATENATE(P28,":",S28),Y28)+IF(F67=CONCATENATE(P30,":",S30),Y30)+IF(F67=CONCATENATE(P32,":",S32),Y32)+IF(F67=CONCATENATE(P34,":",S34),Y34)+IF(F67=CONCATENATE(P36,":",S36),Y36)+IF(F67=CONCATENATE(P87,":",S38),Y38)</f>
        <v>0</v>
      </c>
      <c r="H67" s="70"/>
    </row>
    <row r="68" spans="2:8" ht="15" x14ac:dyDescent="0.3">
      <c r="B68" s="34"/>
      <c r="C68" s="35"/>
      <c r="D68" s="35"/>
      <c r="E68" s="35"/>
      <c r="F68" s="41" t="s">
        <v>257</v>
      </c>
      <c r="G68" s="75">
        <f>IF(F68=CONCATENATE(P14,":",S14),Y14)+IF(F68=CONCATENATE(P16,":",S16),Y16)+IF(F68=CONCATENATE(P18,":",S18),Y18)+IF(F68=CONCATENATE(P20,":",S20),Y20)+IF(F68=CONCATENATE(P22,":",S22),Y22)+IF(F68=CONCATENATE(P24,":",S24),Y24)+IF(F68=CONCATENATE(P26,":",S26),Y26)+IF(F68=CONCATENATE(P28,":",S28),Y28)+IF(F68=CONCATENATE(P30,":",S30),Y30)+IF(F68=CONCATENATE(P32,":",S32),Y32)+IF(F68=CONCATENATE(P34,":",S34),Y34)+IF(F68=CONCATENATE(P36,":",S36),Y36)+IF(F68=CONCATENATE(P36,":",S36),Y36)</f>
        <v>0</v>
      </c>
      <c r="H68" s="36"/>
    </row>
    <row r="69" spans="2:8" ht="15" x14ac:dyDescent="0.3">
      <c r="B69" s="34"/>
      <c r="C69" s="35"/>
      <c r="D69" s="35"/>
      <c r="E69" s="35"/>
      <c r="F69" s="41" t="s">
        <v>258</v>
      </c>
      <c r="G69" s="75">
        <f>IF(F69=CONCATENATE(P14,":",S14),Y14)+IF(F69=CONCATENATE(P16,":",S16),Y16)+IF(F69=CONCATENATE(P18,":",S18),Y18)+IF(F69=CONCATENATE(P20,":",S20),Y20)+IF(F69=CONCATENATE(P22,":",S22),Y22)+IF(F69=CONCATENATE(P24,":",S24),Y24)+IF(F69=CONCATENATE(P26,":",S26),Y26)+IF(F69=CONCATENATE(P28,":",S28),Y28)+IF(F69=CONCATENATE(P30,":",S30),Y30)+IF(F69=CONCATENATE(P32,":",S32),Y32)+IF(F69=CONCATENATE(P34,":",S34),Y34)+IF(F69=CONCATENATE(P36,":",S36),Y36)+IF(F69=CONCATENATE(P36,":",S36),Y36)</f>
        <v>0</v>
      </c>
      <c r="H69" s="36"/>
    </row>
    <row r="70" spans="2:8" ht="15" x14ac:dyDescent="0.3">
      <c r="B70" s="34"/>
      <c r="C70" s="35"/>
      <c r="D70" s="35"/>
      <c r="E70" s="35"/>
      <c r="F70" s="41" t="s">
        <v>259</v>
      </c>
      <c r="G70" s="75">
        <f>IF(F70=CONCATENATE(P14,":",S14),Y14)+IF(F70=CONCATENATE(P16,":",S16),Y16)+IF(F70=CONCATENATE(P18,":",S18),Y18)+IF(F70=CONCATENATE(P20,":",S20),Y20)+IF(F70=CONCATENATE(P22,":",S22),Y22)+IF(F70=CONCATENATE(P24,":",S24),Y24)+IF(F70=CONCATENATE(P26,":",S26),Y26)+IF(F70=CONCATENATE(P28,":",S28),Y28)+IF(F70=CONCATENATE(P30,":",S30),Y30)+IF(F70=CONCATENATE(P32,":",S32),Y32)+IF(F70=CONCATENATE(P34,":",S34),Y34)+IF(F70=CONCATENATE(P36,":",S36),Y36)+IF(F70=CONCATENATE(P36,":",S36),Y36)</f>
        <v>0</v>
      </c>
      <c r="H70" s="36"/>
    </row>
    <row r="71" spans="2:8" ht="15" x14ac:dyDescent="0.3">
      <c r="B71" s="34"/>
      <c r="C71" s="35"/>
      <c r="D71" s="35"/>
      <c r="E71" s="35"/>
      <c r="F71" s="41" t="s">
        <v>260</v>
      </c>
      <c r="G71" s="75">
        <f>IF(F71=CONCATENATE(P14,":",S14),Y14)+IF(F71=CONCATENATE(P16,":",S16),Y16)+IF(F71=CONCATENATE(P18,":",S18),Y18)+IF(F71=CONCATENATE(P20,":",S20),Y20)+IF(F71=CONCATENATE(P22,":",S22),Y22)+IF(F71=CONCATENATE(P24,":",S24),Y24)+IF(F71=CONCATENATE(P26,":",S26),Y26)+IF(F71=CONCATENATE(P28,":",S28),Y28)+IF(F71=CONCATENATE(P30,":",S30),Y30)+IF(F71=CONCATENATE(P32,":",S32),Y32)+IF(F71=CONCATENATE(P34,":",S34),Y34)+IF(F71=CONCATENATE(P36,":",S36),Y36)+IF(F71=CONCATENATE(P36,":",S36),Y36)</f>
        <v>0</v>
      </c>
      <c r="H71" s="36"/>
    </row>
    <row r="72" spans="2:8" ht="15" x14ac:dyDescent="0.3">
      <c r="B72" s="34"/>
      <c r="C72" s="35"/>
      <c r="D72" s="35"/>
      <c r="E72" s="35"/>
      <c r="F72" s="41" t="s">
        <v>261</v>
      </c>
      <c r="G72" s="75">
        <f>IF(F72=CONCATENATE(P14,":",S14),Y14)+IF(F72=CONCATENATE(P16,":",S16),Y16)+IF(F72=CONCATENATE(P18,":",S18),Y18)+IF(F72=CONCATENATE(P20,":",S20),Y20)+IF(F72=CONCATENATE(P22,":",S22),Y22)+IF(F72=CONCATENATE(P24,":",S24),Y24)+IF(F72=CONCATENATE(P26,":",S26),Y26)+IF(F72=CONCATENATE(P28,":",S28),Y28)+IF(F72=CONCATENATE(P30,":",S30),Y30)+IF(F72=CONCATENATE(P32,":",S32),Y32)+IF(F72=CONCATENATE(P34,":",S34),Y34)+IF(F72=CONCATENATE(P36,":",S36),Y36)+IF(F72=CONCATENATE(P36,":",S36),Y36)</f>
        <v>0</v>
      </c>
      <c r="H72" s="36"/>
    </row>
    <row r="73" spans="2:8" ht="15" x14ac:dyDescent="0.3">
      <c r="B73" s="34"/>
      <c r="C73" s="35"/>
      <c r="D73" s="35"/>
      <c r="E73" s="35"/>
      <c r="F73" s="41" t="s">
        <v>262</v>
      </c>
      <c r="G73" s="75">
        <f>IF(F73=CONCATENATE(P14,":",S14),Y14)+IF(F73=CONCATENATE(P16,":",S16),Y16)+IF(F73=CONCATENATE(P18,":",S18),Y18)+IF(F73=CONCATENATE(P20,":",S20),Y20)+IF(F73=CONCATENATE(P22,":",S22),Y22)+IF(F73=CONCATENATE(P24,":",S24),Y24)+IF(F73=CONCATENATE(P26,":",S26),Y26)+IF(F73=CONCATENATE(P28,":",S28),Y28)+IF(F73=CONCATENATE(P30,":",S30),Y30)+IF(F73=CONCATENATE(P32,":",S32),Y32)+IF(F73=CONCATENATE(P34,":",S34),Y34)+IF(F73=CONCATENATE(P36,":",S36),Y36)+IF(F73=CONCATENATE(P36,":",S36),Y36)</f>
        <v>0</v>
      </c>
      <c r="H73" s="36"/>
    </row>
    <row r="74" spans="2:8" ht="15" x14ac:dyDescent="0.3">
      <c r="B74" s="34"/>
      <c r="C74" s="35"/>
      <c r="D74" s="35"/>
      <c r="E74" s="35"/>
      <c r="F74" s="41" t="s">
        <v>263</v>
      </c>
      <c r="G74" s="75">
        <f>IF(F74=CONCATENATE(P14,":",S14),Y14)+IF(F74=CONCATENATE(P16,":",S16),Y16)+IF(F74=CONCATENATE(P18,":",S18),Y18)+IF(F74=CONCATENATE(P20,":",S20),Y20)+IF(F74=CONCATENATE(P22,":",S22),Y22)+IF(F74=CONCATENATE(P24,":",S24),Y24)+IF(F74=CONCATENATE(P26,":",S26),Y26)+IF(F74=CONCATENATE(P28,":",S28),Y28)+IF(F74=CONCATENATE(P30,":",S30),Y30)+IF(F74=CONCATENATE(P32,":",S32),Y32)+IF(F74=CONCATENATE(P34,":",S34),Y34)+IF(F74=CONCATENATE(P36,":",S36),Y36)+IF(F74=CONCATENATE(P36,":",S36),Y36)</f>
        <v>0</v>
      </c>
      <c r="H74" s="36"/>
    </row>
    <row r="75" spans="2:8" ht="15" x14ac:dyDescent="0.3">
      <c r="B75" s="34"/>
      <c r="C75" s="35"/>
      <c r="D75" s="35"/>
      <c r="E75" s="35"/>
      <c r="F75" s="41" t="s">
        <v>264</v>
      </c>
      <c r="G75" s="75">
        <f>IF(F75=CONCATENATE(P14,":",S14),Y14)+IF(F75=CONCATENATE(P16,":",S16),Y16)+IF(F75=CONCATENATE(P18,":",S18),Y18)+IF(F75=CONCATENATE(P20,":",S20),Y20)+IF(F75=CONCATENATE(P22,":",S22),Y22)+IF(F75=CONCATENATE(P24,":",S24),Y24)+IF(F75=CONCATENATE(P26,":",S26),Y26)+IF(F75=CONCATENATE(P28,":",S28),Y28)+IF(F75=CONCATENATE(P30,":",S30),Y30)+IF(F75=CONCATENATE(P32,":",S32),Y32)+IF(F75=CONCATENATE(P34,":",S34),Y34)+IF(F75=CONCATENATE(P36,":",S36),Y36)+IF(F75=CONCATENATE(P36,":",S36),Y36)</f>
        <v>0</v>
      </c>
      <c r="H75" s="36"/>
    </row>
    <row r="76" spans="2:8" ht="15" x14ac:dyDescent="0.3">
      <c r="B76" s="34"/>
      <c r="C76" s="35"/>
      <c r="D76" s="35"/>
      <c r="E76" s="35"/>
      <c r="F76" s="41" t="s">
        <v>265</v>
      </c>
      <c r="G76" s="75">
        <f>IF(F76=CONCATENATE(P14,":",S14),Y14)+IF(F76=CONCATENATE(P16,":",S16),Y16)+IF(F76=CONCATENATE(P18,":",S18),Y18)+IF(F76=CONCATENATE(P20,":",S20),Y20)+IF(F76=CONCATENATE(P22,":",S22),Y22)+IF(F76=CONCATENATE(P24,":",S24),Y24)+IF(F76=CONCATENATE(P26,":",S26),Y26)+IF(F76=CONCATENATE(P28,":",S28),Y28)+IF(F76=CONCATENATE(P30,":",S30),Y30)+IF(F76=CONCATENATE(P32,":",S32),Y32)+IF(F76=CONCATENATE(P34,":",S34),Y34)+IF(F76=CONCATENATE(P36,":",S36),Y36)+IF(F76=CONCATENATE(P36,":",S36),Y36)</f>
        <v>0</v>
      </c>
      <c r="H76" s="36"/>
    </row>
    <row r="77" spans="2:8" ht="15" x14ac:dyDescent="0.3">
      <c r="B77" s="34"/>
      <c r="C77" s="35"/>
      <c r="D77" s="35"/>
      <c r="E77" s="35"/>
      <c r="F77" s="41" t="s">
        <v>266</v>
      </c>
      <c r="G77" s="75">
        <f>IF(F77=CONCATENATE(P14,":",S14),Y14)+IF(F77=CONCATENATE(P16,":",S16),Y16)+IF(F77=CONCATENATE(P18,":",S18),Y18)+IF(F77=CONCATENATE(P20,":",S20),Y20)+IF(F77=CONCATENATE(P22,":",S22),Y22)+IF(F77=CONCATENATE(P24,":",S24),Y24)+IF(F77=CONCATENATE(P26,":",S26),Y26)+IF(F77=CONCATENATE(P28,":",S28),Y28)+IF(F77=CONCATENATE(P30,":",S30),Y30)+IF(F77=CONCATENATE(P32,":",S32),Y32)+IF(F77=CONCATENATE(P34,":",S34),Y34)+IF(F77=CONCATENATE(P36,":",S36),Y36)+IF(F77=CONCATENATE(P36,":",S36),Y36)</f>
        <v>1.5</v>
      </c>
      <c r="H77" s="36"/>
    </row>
    <row r="78" spans="2:8" ht="15" x14ac:dyDescent="0.3">
      <c r="B78" s="34"/>
      <c r="C78" s="35"/>
      <c r="D78" s="35"/>
      <c r="E78" s="35"/>
      <c r="F78" s="41" t="s">
        <v>267</v>
      </c>
      <c r="G78" s="75">
        <f>IF(F78=CONCATENATE(P14,":",S14),Y14)+IF(F78=CONCATENATE(P16,":",S16),Y16)+IF(F78=CONCATENATE(P18,":",S18),Y18)+IF(F78=CONCATENATE(P20,":",S20),Y20)+IF(F78=CONCATENATE(P22,":",S22),Y22)+IF(F78=CONCATENATE(P24,":",S24),Y24)+IF(F78=CONCATENATE(P26,":",S26),Y26)+IF(F78=CONCATENATE(P28,":",S28),Y28)+IF(F78=CONCATENATE(P30,":",S30),Y30)+IF(F78=CONCATENATE(P32,":",S32),Y32)+IF(F78=CONCATENATE(P34,":",S34),Y34)+IF(F78=CONCATENATE(P36,":",S36),Y36)+IF(F78=CONCATENATE(P36,":",S36),Y36)</f>
        <v>0</v>
      </c>
      <c r="H78" s="36"/>
    </row>
    <row r="79" spans="2:8" ht="15" x14ac:dyDescent="0.3">
      <c r="B79" s="34"/>
      <c r="C79" s="35"/>
      <c r="D79" s="35"/>
      <c r="E79" s="35"/>
      <c r="F79" s="41" t="s">
        <v>268</v>
      </c>
      <c r="G79" s="75">
        <f>IF(F79=CONCATENATE(P14,":",S14),Y14)+IF(F79=CONCATENATE(P16,":",S16),Y16)+IF(F79=CONCATENATE(P18,":",S18),Y18)+IF(F79=CONCATENATE(P20,":",S20),Y20)+IF(F79=CONCATENATE(P22,":",S22),Y22)+IF(F79=CONCATENATE(P24,":",S24),Y24)+IF(F79=CONCATENATE(P26,":",S26),Y26)+IF(F79=CONCATENATE(P28,":",S28),Y28)+IF(F79=CONCATENATE(P30,":",S30),Y30)+IF(F79=CONCATENATE(P32,":",S32),Y32)+IF(F79=CONCATENATE(P34,":",S34),Y34)+IF(F79=CONCATENATE(P36,":",S36),Y36)+IF(F79=CONCATENATE(P36,":",S36),Y36)</f>
        <v>0</v>
      </c>
      <c r="H79" s="36"/>
    </row>
    <row r="80" spans="2:8" ht="15" x14ac:dyDescent="0.3">
      <c r="B80" s="34"/>
      <c r="C80" s="35"/>
      <c r="D80" s="35"/>
      <c r="E80" s="35"/>
      <c r="F80" s="41" t="s">
        <v>269</v>
      </c>
      <c r="G80" s="75">
        <f>IF(F80=CONCATENATE(P14,":",S14),Y14)+IF(F80=CONCATENATE(P16,":",S16),Y16)+IF(F80=CONCATENATE(P18,":",S18),Y18)+IF(F80=CONCATENATE(P20,":",S20),Y20)+IF(F80=CONCATENATE(P22,":",S22),Y22)+IF(F80=CONCATENATE(P24,":",S24),Y24)+IF(F80=CONCATENATE(P26,":",S26),Y26)+IF(F80=CONCATENATE(P28,":",S28),Y28)+IF(F80=CONCATENATE(P30,":",S30),Y30)+IF(F80=CONCATENATE(P32,":",S32),Y32)+IF(F80=CONCATENATE(P34,":",S34),Y34)+IF(F80=CONCATENATE(P36,":",S36),Y36)+IF(F80=CONCATENATE(P36,":",S36),Y36)</f>
        <v>0</v>
      </c>
      <c r="H80" s="36"/>
    </row>
    <row r="81" spans="2:8" ht="15" x14ac:dyDescent="0.3">
      <c r="B81" s="34"/>
      <c r="C81" s="35"/>
      <c r="D81" s="35"/>
      <c r="E81" s="35"/>
      <c r="F81" s="41" t="s">
        <v>270</v>
      </c>
      <c r="G81" s="75">
        <f>IF(F81=CONCATENATE(P14,":",S14),Y14)+IF(F81=CONCATENATE(P16,":",S16),Y16)+IF(F81=CONCATENATE(P18,":",S18),Y18)+IF(F81=CONCATENATE(P20,":",S20),Y20)+IF(F81=CONCATENATE(P22,":",S22),Y22)+IF(F81=CONCATENATE(P24,":",S24),Y24)+IF(F81=CONCATENATE(P26,":",S26),Y26)+IF(F81=CONCATENATE(P28,":",S28),Y28)+IF(F81=CONCATENATE(P30,":",S30),Y30)+IF(F81=CONCATENATE(P32,":",S32),Y32)+IF(F81=CONCATENATE(P34,":",S34),Y34)+IF(F81=CONCATENATE(P36,":",S36),Y36)+IF(F81=CONCATENATE(P36,":",S36),Y36)</f>
        <v>0</v>
      </c>
      <c r="H81" s="36"/>
    </row>
    <row r="82" spans="2:8" ht="15" x14ac:dyDescent="0.3">
      <c r="B82" s="34"/>
      <c r="C82" s="35"/>
      <c r="D82" s="35"/>
      <c r="E82" s="35"/>
      <c r="F82" s="41" t="s">
        <v>271</v>
      </c>
      <c r="G82" s="75">
        <f>IF(F82=CONCATENATE(P14,":",S14),Y14)+IF(F82=CONCATENATE(P16,":",S16),Y16)+IF(F82=CONCATENATE(P18,":",S18),Y18)+IF(F82=CONCATENATE(P20,":",S20),Y20)+IF(F82=CONCATENATE(P22,":",S22),Y22)+IF(F82=CONCATENATE(P24,":",S24),Y24)+IF(F82=CONCATENATE(P26,":",S26),Y26)+IF(F82=CONCATENATE(P28,":",S28),Y28)+IF(F82=CONCATENATE(P30,":",S30),Y30)+IF(F82=CONCATENATE(P32,":",S32),Y32)+IF(F82=CONCATENATE(P34,":",S34),Y34)+IF(F82=CONCATENATE(P36,":",S36),Y36)+IF(F82=CONCATENATE(P36,":",S36),Y36)</f>
        <v>0</v>
      </c>
      <c r="H82" s="36"/>
    </row>
    <row r="83" spans="2:8" ht="15" x14ac:dyDescent="0.3">
      <c r="B83" s="34"/>
      <c r="C83" s="35"/>
      <c r="D83" s="35"/>
      <c r="E83" s="35"/>
      <c r="F83" s="41" t="s">
        <v>272</v>
      </c>
      <c r="G83" s="75">
        <f>IF(F83=CONCATENATE(P14,":",S14),Y14)+IF(F83=CONCATENATE(P16,":",S16),Y16)+IF(F83=CONCATENATE(P18,":",S18),Y18)+IF(F83=CONCATENATE(P20,":",S20),Y20)+IF(F83=CONCATENATE(P22,":",S22),Y22)+IF(F83=CONCATENATE(P24,":",S24),Y24)+IF(F83=CONCATENATE(P26,":",S26),Y26)+IF(F83=CONCATENATE(P28,":",S28),Y28)+IF(F83=CONCATENATE(P30,":",S30),Y30)+IF(F83=CONCATENATE(P32,":",S32),Y32)+IF(F83=CONCATENATE(P34,":",S34),Y34)+IF(F83=CONCATENATE(P36,":",S36),Y36)+IF(F83=CONCATENATE(P36,":",S36),Y36)</f>
        <v>0</v>
      </c>
      <c r="H83" s="36"/>
    </row>
    <row r="84" spans="2:8" ht="15" x14ac:dyDescent="0.3">
      <c r="B84" s="34"/>
      <c r="C84" s="35"/>
      <c r="D84" s="35"/>
      <c r="E84" s="35"/>
      <c r="F84" s="41" t="s">
        <v>273</v>
      </c>
      <c r="G84" s="75">
        <f>IF(F84=CONCATENATE(P14,":",S14),Y14)+IF(F84=CONCATENATE(P16,":",S16),Y16)+IF(F84=CONCATENATE(P18,":",S18),Y18)+IF(F84=CONCATENATE(P20,":",S20),Y20)+IF(F84=CONCATENATE(P22,":",S22),Y22)+IF(F84=CONCATENATE(P24,":",S24),Y24)+IF(F84=CONCATENATE(P26,":",S26),Y26)+IF(F84=CONCATENATE(P28,":",S28),Y28)+IF(F84=CONCATENATE(P30,":",S30),Y30)+IF(F84=CONCATENATE(P32,":",S32),Y32)+IF(F84=CONCATENATE(P34,":",S34),Y34)+IF(F84=CONCATENATE(P36,":",S36),Y36)+IF(F84=CONCATENATE(P36,":",S36),Y36)</f>
        <v>0</v>
      </c>
      <c r="H84" s="36"/>
    </row>
    <row r="85" spans="2:8" ht="15" x14ac:dyDescent="0.3">
      <c r="B85" s="34"/>
      <c r="C85" s="35"/>
      <c r="D85" s="35"/>
      <c r="E85" s="35"/>
      <c r="F85" s="41" t="s">
        <v>274</v>
      </c>
      <c r="G85" s="75">
        <f>IF(F85=CONCATENATE(P14,":",S14),Y14)+IF(F85=CONCATENATE(P16,":",S16),Y16)+IF(F85=CONCATENATE(P18,":",S18),Y18)+IF(F85=CONCATENATE(P20,":",S20),Y20)+IF(F85=CONCATENATE(P22,":",S22),Y22)+IF(F85=CONCATENATE(P24,":",S24),Y24)+IF(F85=CONCATENATE(P26,":",S26),Y26)+IF(F85=CONCATENATE(P28,":",S28),Y28)+IF(F85=CONCATENATE(P30,":",S30),Y30)+IF(F85=CONCATENATE(P32,":",S32),Y32)+IF(F85=CONCATENATE(P34,":",S34),Y34)+IF(F85=CONCATENATE(P36,":",S36),Y36)+IF(F85=CONCATENATE(P36,":",S36),Y36)</f>
        <v>0</v>
      </c>
      <c r="H85" s="36"/>
    </row>
    <row r="86" spans="2:8" ht="15" x14ac:dyDescent="0.3">
      <c r="B86" s="37"/>
      <c r="C86" s="38"/>
      <c r="D86" s="38"/>
      <c r="E86" s="38"/>
      <c r="F86" s="42" t="s">
        <v>275</v>
      </c>
      <c r="G86" s="76">
        <f>IF(F86=CONCATENATE(P14,":",S14),Y14)+IF(F86=CONCATENATE(P16,":",S16),Y16)+IF(F86=CONCATENATE(P18,":",S18),Y18)+IF(F86=CONCATENATE(P20,":",S20),Y20)+IF(F86=CONCATENATE(P22,":",S22),Y22)+IF(F86=CONCATENATE(P24,":",S24),Y24)+IF(F86=CONCATENATE(P26,":",S26),Y26)+IF(F86=CONCATENATE(P28,":",S28),Y28)+IF(F86=CONCATENATE(P30,":",S30),Y30)+IF(F86=CONCATENATE(P32,":",S32),Y32)+IF(F86=CONCATENATE(P34,":",S34),Y34)+IF(F86=CONCATENATE(P36,":",S36),Y36)+IF(F86=CONCATENATE(P36,":",S36),Y36)</f>
        <v>0</v>
      </c>
      <c r="H86" s="39"/>
    </row>
    <row r="89" spans="2:8" s="64" customFormat="1" ht="15" x14ac:dyDescent="0.3">
      <c r="B89" s="65"/>
      <c r="C89" s="66"/>
      <c r="D89" s="66"/>
      <c r="E89" s="66"/>
      <c r="F89" s="78" t="s">
        <v>291</v>
      </c>
      <c r="G89" s="74">
        <f>IF( F89=CONCATENATE(G14,":",J14),Y14)+IF( F89=CONCATENATE(G16,":",J16),Y16)+IF( F89=CONCATENATE(G18,":",J18),Y18)+IF( F89=CONCATENATE(G20,":",J20),Y20)+IF( F89=CONCATENATE(G22,":",J22),Y22)+IF( F89=CONCATENATE(G24,":",J24),Y24)+IF( F89=CONCATENATE(G26,":",J26),Y26)+IF( F89=CONCATENATE(G28,":",J28),Y28)+IF( F89=CONCATENATE(P30,":",S30),Y30)+IF( F89=CONCATENATE(P32,":",S32),Y32)+IF( F89=CONCATENATE(P34,":",S34),Y34)+IF( F89=CONCATENATE(P36,":",S36),Y36)</f>
        <v>0</v>
      </c>
      <c r="H89" s="67"/>
    </row>
    <row r="90" spans="2:8" s="64" customFormat="1" ht="15" x14ac:dyDescent="0.3">
      <c r="B90" s="68"/>
      <c r="C90" s="69"/>
      <c r="D90" s="69"/>
      <c r="E90" s="69"/>
      <c r="F90" s="77" t="s">
        <v>221</v>
      </c>
      <c r="G90" s="79">
        <f>IF( F90=CONCATENATE(G14,":",J14),Y14)+IF( F90=CONCATENATE(G16,":",J16),Y16)+IF( F90=CONCATENATE(G18,":",J18),Y18)+IF( F90=CONCATENATE(G20,":",J20),Y20)+IF( F90=CONCATENATE(G22,":",J22),Y22)+IF( F90=CONCATENATE(G24,":",J24),Y24)+IF( F90=CONCATENATE(G26,":",J26),Y26)+IF( F90=CONCATENATE(G28,":",J28),Y28)+IF( F90=CONCATENATE(P30,":",S30),Y30)+IF( F90=CONCATENATE(P32,":",S32),Y32)+IF( F90=CONCATENATE(P34,":",S34),Y34)+IF( F90=CONCATENATE(P36,":",S36),Y36)</f>
        <v>0</v>
      </c>
      <c r="H90" s="70"/>
    </row>
    <row r="91" spans="2:8" s="64" customFormat="1" ht="15" x14ac:dyDescent="0.3">
      <c r="B91" s="68"/>
      <c r="C91" s="69"/>
      <c r="D91" s="69"/>
      <c r="E91" s="69"/>
      <c r="F91" s="77" t="s">
        <v>281</v>
      </c>
      <c r="G91" s="79">
        <f>IF( F91=CONCATENATE(G14,":",J14),Y14)+IF( F91=CONCATENATE(G16,":",J16),Y16)+IF( F91=CONCATENATE(G18,":",J18),Y18)+IF( F91=CONCATENATE(G20,":",J20),Y20)+IF( F91=CONCATENATE(G22,":",J22),Y22)+IF( F91=CONCATENATE(G24,":",J24),Y24)+IF( F91=CONCATENATE(G26,":",J26),Y26)+IF( F91=CONCATENATE(G28,":",J28),Y28)+IF( F91=CONCATENATE(P30,":",S30),Y30)+IF( F91=CONCATENATE(P32,":",S32),Y32)+IF( F91=CONCATENATE(P34,":",S34),Y34)+IF( F91=CONCATENATE(P36,":",S36),Y36)</f>
        <v>0</v>
      </c>
      <c r="H91" s="70"/>
    </row>
    <row r="92" spans="2:8" s="64" customFormat="1" ht="15" x14ac:dyDescent="0.3">
      <c r="B92" s="68"/>
      <c r="C92" s="69"/>
      <c r="D92" s="69"/>
      <c r="E92" s="69"/>
      <c r="F92" s="77" t="s">
        <v>222</v>
      </c>
      <c r="G92" s="79">
        <f>IF( F92=CONCATENATE(G14,":",J14),Y14)+IF( F92=CONCATENATE(G16,":",J16),Y16)+IF( F92=CONCATENATE(G18,":",J18),Y18)+IF( F92=CONCATENATE(G20,":",J20),Y20)+IF( F92=CONCATENATE(G22,":",J22),Y22)+IF( F92=CONCATENATE(G24,":",J24),Y24)+IF( F92=CONCATENATE(G26,":",J26),Y26)+IF( F92=CONCATENATE(G28,":",J28),Y28)+IF( F92=CONCATENATE(P30,":",S30),Y30)+IF( F92=CONCATENATE(P32,":",S32),Y32)+IF( F92=CONCATENATE(P34,":",S34),Y34)+IF( F92=CONCATENATE(P36,":",S36),Y36)</f>
        <v>0</v>
      </c>
      <c r="H92" s="70"/>
    </row>
    <row r="93" spans="2:8" s="64" customFormat="1" ht="15" x14ac:dyDescent="0.3">
      <c r="B93" s="68"/>
      <c r="C93" s="69"/>
      <c r="D93" s="69"/>
      <c r="E93" s="69"/>
      <c r="F93" s="77" t="s">
        <v>223</v>
      </c>
      <c r="G93" s="79">
        <f>IF( F93=CONCATENATE(G14,":",J14),Y14)+IF( F93=CONCATENATE(G16,":",J16),Y16)+IF( F93=CONCATENATE(G18,":",J18),Y18)+IF( F93=CONCATENATE(G20,":",J20),Y20)+IF( F93=CONCATENATE(G22,":",J22),Y22)+IF( F93=CONCATENATE(G24,":",J24),Y24)+IF( F93=CONCATENATE(G26,":",J26),Y26)+IF( F93=CONCATENATE(G28,":",J28),Y28)+IF( F93=CONCATENATE(P30,":",S30),Y30)+IF( F93=CONCATENATE(P32,":",S32),Y32)+IF( F93=CONCATENATE(P34,":",S34),Y34)+IF( F93=CONCATENATE(P36,":",S36),Y36)</f>
        <v>0</v>
      </c>
      <c r="H93" s="70"/>
    </row>
    <row r="94" spans="2:8" s="64" customFormat="1" ht="15" x14ac:dyDescent="0.3">
      <c r="B94" s="68"/>
      <c r="C94" s="69"/>
      <c r="D94" s="69"/>
      <c r="E94" s="69"/>
      <c r="F94" s="77" t="s">
        <v>224</v>
      </c>
      <c r="G94" s="79">
        <f>IF( F94=CONCATENATE(G14,":",J14),Y14)+IF( F94=CONCATENATE(G16,":",J16),Y16)+IF( F94=CONCATENATE(G18,":",J18),Y18)+IF( F94=CONCATENATE(G20,":",J20),Y20)+IF( F94=CONCATENATE(G22,":",J22),Y22)+IF( F94=CONCATENATE(G24,":",J24),Y24)+IF( F94=CONCATENATE(G26,":",J26),Y26)+IF( F94=CONCATENATE(G28,":",J28),Y28)+IF( F94=CONCATENATE(P30,":",S30),Y30)+IF( F94=CONCATENATE(P32,":",S32),Y32)+IF( F94=CONCATENATE(P34,":",S34),Y34)+IF( F94=CONCATENATE(P36,":",S36),Y36)</f>
        <v>0</v>
      </c>
      <c r="H94" s="70"/>
    </row>
    <row r="95" spans="2:8" s="64" customFormat="1" ht="15" x14ac:dyDescent="0.3">
      <c r="B95" s="68"/>
      <c r="C95" s="69"/>
      <c r="D95" s="69"/>
      <c r="E95" s="69"/>
      <c r="F95" s="77" t="s">
        <v>225</v>
      </c>
      <c r="G95" s="79">
        <f>IF( F95=CONCATENATE(G14,":",J14),Y14)+IF( F95=CONCATENATE(G16,":",J16),Y16)+IF( F95=CONCATENATE(G18,":",J18),Y18)+IF( F95=CONCATENATE(G20,":",J20),Y20)+IF( F95=CONCATENATE(G22,":",J22),Y22)+IF( F95=CONCATENATE(G24,":",J24),Y24)+IF( F95=CONCATENATE(G26,":",J26),Y26)+IF( F95=CONCATENATE(G28,":",J28),Y28)+IF( F95=CONCATENATE(P30,":",S30),Y30)+IF( F95=CONCATENATE(P32,":",S32),Y32)+IF( F95=CONCATENATE(P34,":",S34),Y34)+IF( F95=CONCATENATE(P36,":",S36),Y36)</f>
        <v>0</v>
      </c>
      <c r="H95" s="70"/>
    </row>
    <row r="96" spans="2:8" s="64" customFormat="1" ht="15" x14ac:dyDescent="0.3">
      <c r="B96" s="68"/>
      <c r="C96" s="69"/>
      <c r="D96" s="69"/>
      <c r="E96" s="69"/>
      <c r="F96" s="77" t="s">
        <v>226</v>
      </c>
      <c r="G96" s="79">
        <f>IF( F96=CONCATENATE(G14,":",J14),Y14)+IF( F96=CONCATENATE(G16,":",J16),Y16)+IF( F96=CONCATENATE(G18,":",J18),Y18)+IF( F96=CONCATENATE(G20,":",J20),Y20)+IF( F96=CONCATENATE(G22,":",J22),Y22)+IF( F96=CONCATENATE(G24,":",J24),Y24)+IF( F96=CONCATENATE(G26,":",J26),Y26)+IF( F96=CONCATENATE(G28,":",J28),Y28)+IF( F96=CONCATENATE(P30,":",S30),Y30)+IF( F96=CONCATENATE(P32,":",S32),Y32)+IF( F96=CONCATENATE(P34,":",S34),Y34)+IF( F96=CONCATENATE(P36,":",S36),Y36)</f>
        <v>0</v>
      </c>
      <c r="H96" s="70"/>
    </row>
    <row r="97" spans="2:8" s="64" customFormat="1" ht="15" x14ac:dyDescent="0.3">
      <c r="B97" s="68"/>
      <c r="C97" s="69"/>
      <c r="D97" s="69"/>
      <c r="E97" s="69"/>
      <c r="F97" s="77" t="s">
        <v>309</v>
      </c>
      <c r="G97" s="79">
        <f>IF( F97=CONCATENATE(G14,":",J14),Y14)+IF( F97=CONCATENATE(G16,":",J16),Y16)+IF( F97=CONCATENATE(G18,":",J18),Y18)+IF( F97=CONCATENATE(G20,":",J20),Y20)+IF( F97=CONCATENATE(G22,":",J22),Y22)+IF( F97=CONCATENATE(G24,":",J24),Y24)+IF( F97=CONCATENATE(G26,":",J26),Y26)+IF( F97=CONCATENATE(G28,":",J28),Y28)+IF( F97=CONCATENATE(P30,":",S30),Y30)+IF( F97=CONCATENATE(P32,":",S32),Y32)+IF( F97=CONCATENATE(P34,":",S34),Y34)+IF( F97=CONCATENATE(P36,":",S36),Y36)</f>
        <v>0</v>
      </c>
      <c r="H97" s="70"/>
    </row>
    <row r="98" spans="2:8" s="64" customFormat="1" ht="15" x14ac:dyDescent="0.3">
      <c r="B98" s="68"/>
      <c r="C98" s="69"/>
      <c r="D98" s="69"/>
      <c r="E98" s="69"/>
      <c r="F98" s="77" t="s">
        <v>307</v>
      </c>
      <c r="G98" s="79">
        <f>IF( F98=CONCATENATE(G14,":",J14),Y14)+IF( F98=CONCATENATE(G16,":",J16),Y16)+IF( F98=CONCATENATE(G18,":",J18),Y18)+IF( F98=CONCATENATE(G20,":",J20),Y20)+IF( F98=CONCATENATE(G22,":",J22),Y22)+IF( F98=CONCATENATE(G24,":",J24),Y24)+IF( F98=CONCATENATE(G26,":",J26),Y26)+IF( F98=CONCATENATE(G28,":",J28),Y28)+IF( F98=CONCATENATE(P30,":",S30),Y30)+IF( F98=CONCATENATE(P32,":",S32),Y32)+IF( F98=CONCATENATE(P34,":",S34),Y34)+IF( F98=CONCATENATE(P36,":",S36),Y36)</f>
        <v>0</v>
      </c>
      <c r="H98" s="70"/>
    </row>
    <row r="99" spans="2:8" s="64" customFormat="1" ht="15" x14ac:dyDescent="0.3">
      <c r="B99" s="68"/>
      <c r="C99" s="69"/>
      <c r="D99" s="69"/>
      <c r="E99" s="69"/>
      <c r="F99" s="77" t="s">
        <v>325</v>
      </c>
      <c r="G99" s="79">
        <f>IF( F99=CONCATENATE(G14,":",J14),Y14)+IF( F99=CONCATENATE(G16,":",J16),Y16)+IF( F99=CONCATENATE(G18,":",J18),Y18)+IF( F99=CONCATENATE(G20,":",J20),Y20)+IF( F99=CONCATENATE(G22,":",J22),Y22)+IF( F99=CONCATENATE(G24,":",J24),Y24)+IF( F99=CONCATENATE(G26,":",J26),Y26)+IF( F99=CONCATENATE(G28,":",J28),Y28)+IF( F99=CONCATENATE(P30,":",S30),Y30)+IF( F99=CONCATENATE(P32,":",S32),Y32)+IF( F99=CONCATENATE(P34,":",S34),Y34)+IF( F99=CONCATENATE(P36,":",S36),Y36)</f>
        <v>0</v>
      </c>
      <c r="H99" s="70"/>
    </row>
    <row r="100" spans="2:8" s="64" customFormat="1" ht="15" x14ac:dyDescent="0.3">
      <c r="B100" s="68"/>
      <c r="C100" s="69"/>
      <c r="D100" s="69"/>
      <c r="E100" s="69"/>
      <c r="F100" s="77" t="s">
        <v>227</v>
      </c>
      <c r="G100" s="79">
        <f>IF(F100=CONCATENATE(G14,":",J14),Y14)+IF(F100=CONCATENATE(G16,":",J16),Y16)+IF(F100=CONCATENATE(G18,":",J18),Y18)+IF(F100=CONCATENATE(G20,":",J20),Y20)+IF(F100=CONCATENATE(G22,":",J22),Y22)+IF(F100=CONCATENATE(G24,":",J24),Y24)+IF(F100=CONCATENATE(G26,":",J26),Y26)+IF(F100=CONCATENATE(G28,":",J28),Y28)+IF(F100=CONCATENATE(P30,":",S30),Y30)+IF(F100=CONCATENATE(P32,":",S32),Y32)+IF(F100=CONCATENATE(P34,":",S34),Y34)+IF(F100=CONCATENATE(P36,":",S36),Y36)</f>
        <v>0</v>
      </c>
      <c r="H100" s="70"/>
    </row>
    <row r="101" spans="2:8" s="64" customFormat="1" ht="15" x14ac:dyDescent="0.3">
      <c r="B101" s="68"/>
      <c r="C101" s="69"/>
      <c r="D101" s="69"/>
      <c r="E101" s="69"/>
      <c r="F101" s="77" t="s">
        <v>228</v>
      </c>
      <c r="G101" s="79">
        <f>IF(F101=CONCATENATE(G14,":",J14),Y14)+IF(F101=CONCATENATE(G16,":",J16),Y16)+IF(F101=CONCATENATE(G18,":",J18),Y18)+IF(F101=CONCATENATE(G20,":",J20),Y20)+IF(F101=CONCATENATE(G22,":",J22),Y22)+IF(F101=CONCATENATE(G24,":",J24),Y24)+IF(F101=CONCATENATE(G26,":",J26),Y26)+IF(F101=CONCATENATE(G28,":",J28),Y28)+IF(F101=CONCATENATE(P30,":",S30),Y30)+IF(F101=CONCATENATE(P32,":",S32),Y32)+IF(F101=CONCATENATE(P34,":",S34),Y34)+IF(F101=CONCATENATE(P36,":",S36),Y36)</f>
        <v>0</v>
      </c>
      <c r="H101" s="70"/>
    </row>
    <row r="102" spans="2:8" s="64" customFormat="1" ht="15" x14ac:dyDescent="0.3">
      <c r="B102" s="68"/>
      <c r="C102" s="69"/>
      <c r="D102" s="69"/>
      <c r="E102" s="69"/>
      <c r="F102" s="77" t="s">
        <v>229</v>
      </c>
      <c r="G102" s="79">
        <f>IF(F102=CONCATENATE(G14,":",J14),Y14)+IF(F102=CONCATENATE(G16,":",J16),Y16)+IF(F102=CONCATENATE(G18,":",J18),Y18)+IF(F102=CONCATENATE(G20,":",J20),Y20)+IF(F102=CONCATENATE(G22,":",J22),Y22)+IF(F102=CONCATENATE(G24,":",J24),Y24)+IF(F102=CONCATENATE(G26,":",J26),Y26)+IF(F102=CONCATENATE(G28,":",J28),Y28)+IF(F102=CONCATENATE(P30,":",S30),Y30)+IF(F102=CONCATENATE(P32,":",S32),Y32)+IF(F102=CONCATENATE(P34,":",S34),Y34)+IF(F102=CONCATENATE(P36,":",S36),Y36)</f>
        <v>0</v>
      </c>
      <c r="H102" s="70"/>
    </row>
    <row r="103" spans="2:8" s="64" customFormat="1" ht="15" x14ac:dyDescent="0.3">
      <c r="B103" s="68"/>
      <c r="C103" s="69"/>
      <c r="D103" s="69"/>
      <c r="E103" s="69"/>
      <c r="F103" s="77" t="s">
        <v>230</v>
      </c>
      <c r="G103" s="79">
        <f>IF(F103=CONCATENATE(G14,":",J14),Y14)+IF(F103=CONCATENATE(G16,":",J16),Y16)+IF(F103=CONCATENATE(G18,":",J18),Y18)+IF(F103=CONCATENATE(G20,":",J20),Y20)+IF(F103=CONCATENATE(G22,":",J22),Y22)+IF(F103=CONCATENATE(G24,":",J24),Y24)+IF(F103=CONCATENATE(G26,":",J26),Y26)+IF(F103=CONCATENATE(G28,":",J28),Y28)+IF(F103=CONCATENATE(P30,":",S30),Y30)+IF(F103=CONCATENATE(P32,":",S32),Y32)+IF(F103=CONCATENATE(P34,":",S34),Y34)+IF(F103=CONCATENATE(P36,":",S36),Y36)</f>
        <v>0</v>
      </c>
      <c r="H103" s="70"/>
    </row>
    <row r="104" spans="2:8" s="64" customFormat="1" ht="15" x14ac:dyDescent="0.3">
      <c r="B104" s="68"/>
      <c r="C104" s="69"/>
      <c r="D104" s="69"/>
      <c r="E104" s="69"/>
      <c r="F104" s="77" t="s">
        <v>231</v>
      </c>
      <c r="G104" s="79">
        <f>IF(F104=CONCATENATE(G14,":",J14),Y14)+IF(F104=CONCATENATE(G16,":",J16),Y16)+IF(F104=CONCATENATE(G18,":",J18),Y18)+IF(F104=CONCATENATE(G20,":",J20),Y20)+IF(F104=CONCATENATE(G22,":",J22),Y22)+IF(F104=CONCATENATE(G24,":",J24),Y24)+IF(F104=CONCATENATE(G26,":",J26),Y26)+IF(F104=CONCATENATE(G28,":",J28),Y28)+IF(F104=CONCATENATE(P30,":",S30),Y30)+IF(F104=CONCATENATE(P32,":",S32),Y32)+IF(F104=CONCATENATE(P34,":",S34),Y34)+IF(F104=CONCATENATE(P36,":",S36),Y36)</f>
        <v>0</v>
      </c>
      <c r="H104" s="70"/>
    </row>
    <row r="105" spans="2:8" s="64" customFormat="1" ht="15" x14ac:dyDescent="0.3">
      <c r="B105" s="68"/>
      <c r="C105" s="69"/>
      <c r="D105" s="69"/>
      <c r="E105" s="69"/>
      <c r="F105" s="77" t="s">
        <v>232</v>
      </c>
      <c r="G105" s="79">
        <f>IF(F105=CONCATENATE(G14,":",J14),Y14)+IF(F105=CONCATENATE(G16,":",J16),Y16)+IF(F105=CONCATENATE(G18,":",J18),Y18)+IF(F105=CONCATENATE(G20,":",J20),Y20)+IF(F105=CONCATENATE(G22,":",J22),Y22)+IF(F105=CONCATENATE(G24,":",J24),Y24)+IF(F105=CONCATENATE(G26,":",J26),Y26)+IF(F105=CONCATENATE(G28,":",J28),Y28)+IF(F105=CONCATENATE(P30,":",S30),Y30)+IF(F105=CONCATENATE(P32,":",S32),Y32)+IF(F105=CONCATENATE(P34,":",S34),Y34)+IF(F105=CONCATENATE(P36,":",S36),Y36)</f>
        <v>0</v>
      </c>
      <c r="H105" s="70"/>
    </row>
    <row r="106" spans="2:8" s="64" customFormat="1" ht="15" x14ac:dyDescent="0.3">
      <c r="B106" s="68"/>
      <c r="C106" s="69"/>
      <c r="D106" s="69"/>
      <c r="E106" s="69"/>
      <c r="F106" s="77" t="s">
        <v>300</v>
      </c>
      <c r="G106" s="79">
        <f>IF(F106=CONCATENATE(G14,":",J14),Y14)+IF(F106=CONCATENATE(G16,":",J16),Y16)+IF(F106=CONCATENATE(G18,":",J18),Y18)+IF(F106=CONCATENATE(G20,":",J20),Y20)+IF(F106=CONCATENATE(G22,":",J22),Y22)+IF(F106=CONCATENATE(G24,":",J24),Y24)+IF(F106=CONCATENATE(G26,":",J26),Y26)+IF(F106=CONCATENATE(G28,":",J28),Y28)+IF(F106=CONCATENATE(P30,":",S30),Y30)+IF(F106=CONCATENATE(P32,":",S32),Y32)+IF(F106=CONCATENATE(P34,":",S34),Y34)+IF(F106=CONCATENATE(P36,":",S36),Y36)</f>
        <v>0</v>
      </c>
      <c r="H106" s="70"/>
    </row>
    <row r="107" spans="2:8" s="64" customFormat="1" ht="15" x14ac:dyDescent="0.3">
      <c r="B107" s="68"/>
      <c r="C107" s="69"/>
      <c r="D107" s="69"/>
      <c r="E107" s="69"/>
      <c r="F107" s="77" t="s">
        <v>286</v>
      </c>
      <c r="G107" s="79">
        <f>IF(F107=CONCATENATE(G14,":",J14),Y14)+IF(F107=CONCATENATE(G16,":",J16),Y16)+IF(F107=CONCATENATE(G18,":",J18),Y18)+IF(F107=CONCATENATE(G20,":",J20),Y20)+IF(F107=CONCATENATE(G22,":",J22),Y22)+IF(F107=CONCATENATE(G24,":",J24),Y24)+IF(F107=CONCATENATE(G26,":",J26),Y26)+IF(F107=CONCATENATE(G28,":",J28),Y28)+IF(F107=CONCATENATE(P30,":",S30),Y30)+IF(F107=CONCATENATE(P32,":",S32),Y32)+IF(F107=CONCATENATE(P34,":",S34),Y34)+IF(F107=CONCATENATE(P36,":",S36),Y36)</f>
        <v>0</v>
      </c>
      <c r="H107" s="70"/>
    </row>
    <row r="108" spans="2:8" s="64" customFormat="1" ht="15" x14ac:dyDescent="0.3">
      <c r="B108" s="68"/>
      <c r="C108" s="69"/>
      <c r="D108" s="69"/>
      <c r="E108" s="69"/>
      <c r="F108" s="77" t="s">
        <v>233</v>
      </c>
      <c r="G108" s="79">
        <f>IF(F108=CONCATENATE(G14,":",J14),Y14)+IF(F108=CONCATENATE(G16,":",J16),Y16)+IF(F108=CONCATENATE(G18,":",J18),Y18)+IF(F108=CONCATENATE(G20,":",J20),Y20)+IF(F108=CONCATENATE(G22,":",J22),Y22)+IF(F108=CONCATENATE(G24,":",J24),Y24)+IF(F108=CONCATENATE(G26,":",J26),Y26)+IF(F108=CONCATENATE(G28,":",J28),Y28)+IF(F108=CONCATENATE(P30,":",S30),Y30)+IF(F108=CONCATENATE(P32,":",S32),Y32)+IF(F108=CONCATENATE(P34,":",S34),Y34)+IF(F108=CONCATENATE(P36,":",S36),Y36)</f>
        <v>0</v>
      </c>
      <c r="H108" s="70"/>
    </row>
    <row r="109" spans="2:8" s="64" customFormat="1" ht="15" x14ac:dyDescent="0.3">
      <c r="B109" s="68"/>
      <c r="C109" s="69"/>
      <c r="D109" s="69"/>
      <c r="E109" s="69"/>
      <c r="F109" s="77" t="s">
        <v>292</v>
      </c>
      <c r="G109" s="79">
        <f>IF(F109=CONCATENATE(G14,":",J14),Y14)+IF(F109=CONCATENATE(G16,":",J16),Y16)+IF(F109=CONCATENATE(G18,":",J18),Y18)+IF(F109=CONCATENATE(G20,":",J20),Y20)+IF(F109=CONCATENATE(G22,":",J22),Y22)+IF(F109=CONCATENATE(G24,":",J24),Y24)+IF(F109=CONCATENATE(G26,":",J26),Y26)+IF(F109=CONCATENATE(G28,":",J28),Y28)+IF(F109=CONCATENATE(P30,":",S30),Y30)+IF(F109=CONCATENATE(P32,":",S32),Y32)+IF(F109=CONCATENATE(P34,":",S34),Y34)+IF(F109=CONCATENATE(P36,":",S36),Y36)</f>
        <v>0</v>
      </c>
      <c r="H109" s="70"/>
    </row>
    <row r="110" spans="2:8" s="64" customFormat="1" ht="15" x14ac:dyDescent="0.3">
      <c r="B110" s="68"/>
      <c r="C110" s="69"/>
      <c r="D110" s="69"/>
      <c r="E110" s="69"/>
      <c r="F110" s="77" t="s">
        <v>234</v>
      </c>
      <c r="G110" s="79">
        <f>IF(F110=CONCATENATE(G14,":",J14),Y14)+IF(F110=CONCATENATE(G16,":",J16),Y16)+IF(F110=CONCATENATE(G18,":",J18),Y18)+IF(F110=CONCATENATE(G20,":",J20),Y20)+IF(F110=CONCATENATE(G22,":",J22),Y22)+IF(F110=CONCATENATE(G24,":",J24),Y24)+IF(F110=CONCATENATE(G26,":",J26),Y26)+IF(F110=CONCATENATE(G28,":",J28),Y28)+IF(F110=CONCATENATE(P30,":",S30),Y30)+IF(F110=CONCATENATE(P32,":",S32),Y32)+IF(F110=CONCATENATE(P34,":",S34),Y34)+IF(F110=CONCATENATE(P36,":",S36),Y36)</f>
        <v>0</v>
      </c>
      <c r="H110" s="70"/>
    </row>
    <row r="111" spans="2:8" s="64" customFormat="1" ht="15" x14ac:dyDescent="0.3">
      <c r="B111" s="68"/>
      <c r="C111" s="69"/>
      <c r="D111" s="69"/>
      <c r="E111" s="69"/>
      <c r="F111" s="77" t="s">
        <v>235</v>
      </c>
      <c r="G111" s="79">
        <f>IF(F111=CONCATENATE(G14,":",J14),Y14)+IF(F111=CONCATENATE(G16,":",J16),Y16)+IF(F111=CONCATENATE(G18,":",J18),Y18)+IF(F111=CONCATENATE(G20,":",J20),Y20)+IF(F111=CONCATENATE(G22,":",J22),Y22)+IF(F111=CONCATENATE(G24,":",J24),Y24)+IF(F111=CONCATENATE(G26,":",J26),Y26)+IF(F111=CONCATENATE(G28,":",J28),Y28)+IF(F111=CONCATENATE(P30,":",S30),Y30)+IF(F111=CONCATENATE(P32,":",S32),Y32)+IF(F111=CONCATENATE(P34,":",S34),Y34)+IF(F111=CONCATENATE(P36,":",S36),Y36)</f>
        <v>0</v>
      </c>
      <c r="H111" s="70"/>
    </row>
    <row r="112" spans="2:8" s="64" customFormat="1" ht="15" x14ac:dyDescent="0.3">
      <c r="B112" s="68"/>
      <c r="C112" s="69"/>
      <c r="D112" s="69"/>
      <c r="E112" s="69"/>
      <c r="F112" s="77" t="s">
        <v>236</v>
      </c>
      <c r="G112" s="79">
        <f>IF(F112=CONCATENATE(G14,":",J14),Y14)+IF(F112=CONCATENATE(G16,":",J16),Y16)+IF(F112=CONCATENATE(G18,":",J18),Y18)+IF(F112=CONCATENATE(G20,":",J20),Y20)+IF(F112=CONCATENATE(G22,":",J22),Y22)+IF(F112=CONCATENATE(G24,":",J24),Y24)+IF(F112=CONCATENATE(G26,":",J26),Y26)+IF(F112=CONCATENATE(G28,":",J28),Y28)+IF(F112=CONCATENATE(P30,":",S30),Y30)+IF(F112=CONCATENATE(P32,":",S32),Y32)+IF(F112=CONCATENATE(P34,":",S34),Y34)+IF(F112=CONCATENATE(P36,":",S36),Y36)</f>
        <v>0</v>
      </c>
      <c r="H112" s="70"/>
    </row>
    <row r="113" spans="2:8" s="64" customFormat="1" ht="15" x14ac:dyDescent="0.3">
      <c r="B113" s="68"/>
      <c r="C113" s="69"/>
      <c r="D113" s="69"/>
      <c r="E113" s="69"/>
      <c r="F113" s="77" t="s">
        <v>237</v>
      </c>
      <c r="G113" s="79">
        <f>IF(F113=CONCATENATE(G14,":",J14),Y14)+IF(F113=CONCATENATE(G16,":",J16),Y16)+IF(F113=CONCATENATE(G18,":",J18),Y18)+IF(F113=CONCATENATE(G20,":",J20),Y20)+IF(F113=CONCATENATE(G22,":",J22),Y22)+IF(F113=CONCATENATE(G24,":",J24),Y24)+IF(F113=CONCATENATE(G26,":",J26),Y26)+IF(F113=CONCATENATE(G28,":",J28),Y28)+IF(F113=CONCATENATE(P30,":",S30),Y30)+IF(F113=CONCATENATE(P32,":",S32),Y32)+IF(F113=CONCATENATE(P34,":",S34),Y34)+IF(F113=CONCATENATE(P36,":",S36),Y36)</f>
        <v>0</v>
      </c>
      <c r="H113" s="70"/>
    </row>
    <row r="114" spans="2:8" s="64" customFormat="1" ht="15" x14ac:dyDescent="0.3">
      <c r="B114" s="68"/>
      <c r="C114" s="69"/>
      <c r="D114" s="69"/>
      <c r="E114" s="69"/>
      <c r="F114" s="77" t="s">
        <v>238</v>
      </c>
      <c r="G114" s="79">
        <f>IF(F114=CONCATENATE(G14,":",J14),Y14)+IF(F114=CONCATENATE(G16,":",J16),Y16)+IF(F114=CONCATENATE(G18,":",J18),Y18)+IF(F114=CONCATENATE(G20,":",J20),Y20)+IF(F114=CONCATENATE(G22,":",J22),Y22)+IF(F114=CONCATENATE(G24,":",J24),Y24)+IF(F114=CONCATENATE(G26,":",J26),Y26)+IF(F114=CONCATENATE(G28,":",J28),Y28)+IF(F114=CONCATENATE(P30,":",S30),Y30)+IF(F114=CONCATENATE(P32,":",S32),Y32)+IF(F114=CONCATENATE(P34,":",S34),Y34)+IF(F114=CONCATENATE(P36,":",S36),Y36)</f>
        <v>0</v>
      </c>
      <c r="H114" s="70"/>
    </row>
    <row r="115" spans="2:8" s="64" customFormat="1" ht="15" x14ac:dyDescent="0.3">
      <c r="B115" s="68"/>
      <c r="C115" s="69"/>
      <c r="D115" s="69"/>
      <c r="E115" s="69"/>
      <c r="F115" s="77" t="s">
        <v>239</v>
      </c>
      <c r="G115" s="79">
        <f>IF(F115=CONCATENATE(G14,":",J14),Y14)+IF(F115=CONCATENATE(G16,":",J16),Y16)+IF(F115=CONCATENATE(G18,":",J18),Y18)+IF(F115=CONCATENATE(G20,":",J20),Y20)+IF(F115=CONCATENATE(G22,":",J22),Y22)+IF(F115=CONCATENATE(G24,":",J24),Y24)+IF(F115=CONCATENATE(G26,":",J26),Y26)+IF(F115=CONCATENATE(G28,":",J28),Y28)+IF(F115=CONCATENATE(P30,":",S30),Y30)+IF(F115=CONCATENATE(P32,":",S32),Y32)+IF(F115=CONCATENATE(P34,":",S34),Y34)+IF(F115=CONCATENATE(P36,":",S36),Y36)</f>
        <v>0</v>
      </c>
      <c r="H115" s="70"/>
    </row>
    <row r="116" spans="2:8" s="64" customFormat="1" ht="15" x14ac:dyDescent="0.3">
      <c r="B116" s="68"/>
      <c r="C116" s="69"/>
      <c r="D116" s="69"/>
      <c r="E116" s="69"/>
      <c r="F116" s="77" t="s">
        <v>321</v>
      </c>
      <c r="G116" s="79">
        <f>IF(F116=CONCATENATE(G14,":",J14),Y14)+IF(F116=CONCATENATE(G16,":",J16),Y16)+IF(F116=CONCATENATE(G18,":",J18),Y18)+IF(F116=CONCATENATE(G20,":",J20),Y20)+IF(F116=CONCATENATE(G22,":",J22),Y22)+IF(F116=CONCATENATE(G24,":",J24),Y24)+IF(F116=CONCATENATE(G26,":",J26),Y26)+IF(F116=CONCATENATE(G28,":",J28),Y28)+IF(F116=CONCATENATE(P30,":",S30),Y30)+IF(F116=CONCATENATE(P32,":",S32),Y32)+IF(F116=CONCATENATE(P34,":",S34),Y34)+IF(F116=CONCATENATE(P36,":",S36),Y36)</f>
        <v>0</v>
      </c>
      <c r="H116" s="70"/>
    </row>
    <row r="117" spans="2:8" s="64" customFormat="1" ht="15" x14ac:dyDescent="0.3">
      <c r="B117" s="68"/>
      <c r="C117" s="69"/>
      <c r="D117" s="69"/>
      <c r="E117" s="69"/>
      <c r="F117" s="77" t="s">
        <v>240</v>
      </c>
      <c r="G117" s="79">
        <f>IF(F117=CONCATENATE(G14,":",J14),Y14)+IF(F117=CONCATENATE(G16,":",J16),Y16)+IF(F117=CONCATENATE(G18,":",J18),Y18)+IF(F117=CONCATENATE(G20,":",J20),Y20)+IF(F117=CONCATENATE(G22,":",J22),Y22)+IF(F117=CONCATENATE(G24,":",J24),Y24)+IF(F117=CONCATENATE(G26,":",J26),Y26)+IF(F117=CONCATENATE(G28,":",J28),Y28)+IF(F117=CONCATENATE(P30,":",S30),Y30)+IF(F117=CONCATENATE(P32,":",S32),Y32)+IF(F117=CONCATENATE(P34,":",S34),Y34)+IF(F117=CONCATENATE(P36,":",S36),Y36)</f>
        <v>0</v>
      </c>
      <c r="H117" s="70"/>
    </row>
    <row r="118" spans="2:8" s="64" customFormat="1" ht="15" x14ac:dyDescent="0.3">
      <c r="B118" s="68"/>
      <c r="C118" s="69"/>
      <c r="D118" s="69"/>
      <c r="E118" s="69"/>
      <c r="F118" s="77" t="s">
        <v>305</v>
      </c>
      <c r="G118" s="79">
        <f>IF(F118=CONCATENATE(G14,":",J14),Y14)+IF(F118=CONCATENATE(G16,":",J16),Y16)+IF(F118=CONCATENATE(G18,":",J18),Y18)+IF(F118=CONCATENATE(G20,":",J20),Y20)+IF(F118=CONCATENATE(G22,":",J22),Y22)+IF(F118=CONCATENATE(G24,":",J24),Y24)+IF(F118=CONCATENATE(G26,":",J26),Y26)+IF(F118=CONCATENATE(G28,":",J28),Y28)+IF(F118=CONCATENATE(P30,":",S30),Y30)+IF(F118=CONCATENATE(P32,":",S32),Y32)+IF(F118=CONCATENATE(P34,":",S34),Y34)+IF(F118=CONCATENATE(P36,":",S36),Y36)</f>
        <v>0</v>
      </c>
      <c r="H118" s="70"/>
    </row>
    <row r="119" spans="2:8" s="64" customFormat="1" ht="15" x14ac:dyDescent="0.3">
      <c r="B119" s="68"/>
      <c r="C119" s="69"/>
      <c r="D119" s="69"/>
      <c r="E119" s="69"/>
      <c r="F119" s="77" t="s">
        <v>244</v>
      </c>
      <c r="G119" s="79">
        <f>IF(F119=CONCATENATE(G14,":",J14),Y14)+IF(F119=CONCATENATE(G16,":",J16),Y16)+IF(F119=CONCATENATE(G18,":",J18),Y18)+IF(F119=CONCATENATE(G20,":",J20),Y20)+IF(F119=CONCATENATE(G22,":",J22),Y22)+IF(F119=CONCATENATE(G24,":",J24),Y24)+IF(F119=CONCATENATE(G26,":",J26),Y26)+IF(F119=CONCATENATE(G28,":",J28),Y28)+IF(F119=CONCATENATE(P30,":",S30),Y30)+IF(F119=CONCATENATE(P32,":",S32),Y32)+IF(F119=CONCATENATE(P34,":",S34),Y34)+IF(F119=CONCATENATE(P36,":",S36),Y36)</f>
        <v>0</v>
      </c>
      <c r="H119" s="70"/>
    </row>
    <row r="120" spans="2:8" s="64" customFormat="1" ht="15" x14ac:dyDescent="0.3">
      <c r="B120" s="68"/>
      <c r="C120" s="69"/>
      <c r="D120" s="69"/>
      <c r="E120" s="69"/>
      <c r="F120" s="77" t="s">
        <v>241</v>
      </c>
      <c r="G120" s="79">
        <f>IF(F120=CONCATENATE(G14,":",J14),Y14)+IF(F120=CONCATENATE(G16,":",J16),Y16)+IF(F120=CONCATENATE(G18,":",J18),Y18)+IF(F120=CONCATENATE(G20,":",J20),Y20)+IF(F120=CONCATENATE(G22,":",J22),Y22)+IF(F120=CONCATENATE(G24,":",J24),Y24)+IF(F120=CONCATENATE(G26,":",J26),Y26)+IF(F120=CONCATENATE(G28,":",J28),Y28)+IF(F120=CONCATENATE(P30,":",S30),Y30)+IF(F120=CONCATENATE(P32,":",S32),Y32)+IF(F120=CONCATENATE(P34,":",S34),Y34)+IF(F120=CONCATENATE(P36,":",S36),Y36)</f>
        <v>0</v>
      </c>
      <c r="H120" s="70"/>
    </row>
    <row r="121" spans="2:8" s="64" customFormat="1" ht="15" x14ac:dyDescent="0.3">
      <c r="B121" s="68"/>
      <c r="C121" s="69"/>
      <c r="D121" s="69"/>
      <c r="E121" s="69"/>
      <c r="F121" s="77" t="s">
        <v>317</v>
      </c>
      <c r="G121" s="79">
        <f>IF(F121=CONCATENATE(G14,":",J14),Y14)+IF(F121=CONCATENATE(G16,":",J16),Y16)+IF(F121=CONCATENATE(G18,":",J18),Y18)+IF(F121=CONCATENATE(G20,":",J20),Y20)+IF(F121=CONCATENATE(G22,":",J22),Y22)+IF(F121=CONCATENATE(G24,":",J24),Y24)+IF(F121=CONCATENATE(G26,":",J26),Y26)+IF(F121=CONCATENATE(G28,":",J28),Y28)+IF(F121=CONCATENATE(P30,":",S30),Y30)+IF(F121=CONCATENATE(P32,":",S32),Y32)+IF(F121=CONCATENATE(P34,":",S34),Y34)+IF(F121=CONCATENATE(P36,":",S36),Y36)</f>
        <v>0</v>
      </c>
      <c r="H121" s="70"/>
    </row>
    <row r="122" spans="2:8" s="64" customFormat="1" ht="15" x14ac:dyDescent="0.3">
      <c r="B122" s="68"/>
      <c r="C122" s="69"/>
      <c r="D122" s="69"/>
      <c r="E122" s="69"/>
      <c r="F122" s="77" t="s">
        <v>242</v>
      </c>
      <c r="G122" s="79">
        <f>IF(F122=CONCATENATE(G14,":",J14),Y14)+IF(F122=CONCATENATE(G16,":",J16),Y16)+IF(F122=CONCATENATE(G18,":",J18),Y18)+IF(F122=CONCATENATE(G20,":",J20),Y20)+IF(F122=CONCATENATE(G22,":",J22),Y22)+IF(F122=CONCATENATE(G24,":",J24),Y24)+IF(F122=CONCATENATE(G26,":",J26),Y26)+IF(F122=CONCATENATE(G28,":",J28),Y28)+IF(F122=CONCATENATE(P30,":",S30),Y30)+IF(F122=CONCATENATE(P32,":",S32),Y32)+IF(F122=CONCATENATE(P34,":",S34),Y34)+IF(F122=CONCATENATE(P36,":",S36),Y36)</f>
        <v>0</v>
      </c>
      <c r="H122" s="70"/>
    </row>
    <row r="123" spans="2:8" s="64" customFormat="1" ht="15" x14ac:dyDescent="0.3">
      <c r="B123" s="68"/>
      <c r="C123" s="69"/>
      <c r="D123" s="69"/>
      <c r="E123" s="69"/>
      <c r="F123" s="77" t="s">
        <v>322</v>
      </c>
      <c r="G123" s="79">
        <f>IF(F123=CONCATENATE(G14,":",J14),Y14)+IF(F123=CONCATENATE(G16,":",J16),Y16)+IF(F123=CONCATENATE(G18,":",J18),Y18)+IF(F123=CONCATENATE(G20,":",J20),Y20)+IF(F123=CONCATENATE(G22,":",J22),Y22)+IF(F123=CONCATENATE(G24,":",J24),Y24)+IF(F123=CONCATENATE(G26,":",J26),Y26)+IF(F123=CONCATENATE(G28,":",J28),Y28)+IF(F123=CONCATENATE(P30,":",S30),Y30)+IF(F123=CONCATENATE(P32,":",S32),Y32)+IF(F123=CONCATENATE(P34,":",S34),Y34)+IF(F123=CONCATENATE(P36,":",S36),Y36)</f>
        <v>0</v>
      </c>
      <c r="H123" s="70"/>
    </row>
    <row r="124" spans="2:8" s="64" customFormat="1" ht="15" x14ac:dyDescent="0.3">
      <c r="B124" s="68"/>
      <c r="C124" s="69"/>
      <c r="D124" s="69"/>
      <c r="E124" s="69"/>
      <c r="F124" s="77" t="s">
        <v>311</v>
      </c>
      <c r="G124" s="79">
        <f>IF(F124=CONCATENATE(G14,":",J14),Y14)+IF(F124=CONCATENATE(G16,":",J16),Y16)+IF(F124=CONCATENATE(G18,":",J18),Y18)+IF(F124=CONCATENATE(G20,":",J20),Y20)+IF(F124=CONCATENATE(G22,":",J22),Y22)+IF(F124=CONCATENATE(G24,":",J24),Y24)+IF(F124=CONCATENATE(G26,":",J26),Y26)+IF(F124=CONCATENATE(G28,":",J28),Y28)+IF(F124=CONCATENATE(P30,":",S30),Y30)+IF(F124=CONCATENATE(P32,":",S32),Y32)+IF(F124=CONCATENATE(P34,":",S34),Y34)+IF(F124=CONCATENATE(P36,":",S36),Y36)</f>
        <v>0</v>
      </c>
      <c r="H124" s="70"/>
    </row>
    <row r="125" spans="2:8" s="64" customFormat="1" ht="15" x14ac:dyDescent="0.3">
      <c r="B125" s="68"/>
      <c r="C125" s="69"/>
      <c r="D125" s="69"/>
      <c r="E125" s="69"/>
      <c r="F125" s="77" t="s">
        <v>243</v>
      </c>
      <c r="G125" s="79">
        <f>IF(F125=CONCATENATE(G14,":",J14),Y14)+IF(F125=CONCATENATE(G16,":",J16),Y16)+IF(F125=CONCATENATE(G18,":",J18),Y18)+IF(F125=CONCATENATE(G20,":",J20),Y20)+IF(F125=CONCATENATE(G22,":",J22),Y22)+IF(F125=CONCATENATE(G24,":",J24),Y24)+IF(F125=CONCATENATE(G26,":",J26),Y26)+IF(F125=CONCATENATE(G28,":",J28),Y28)+IF(F125=CONCATENATE(P30,":",S30),Y30)+IF(F125=CONCATENATE(P32,":",S32),Y32)+IF(F125=CONCATENATE(P34,":",S34),Y34)+IF(F125=CONCATENATE(P36,":",S36),Y36)</f>
        <v>0</v>
      </c>
      <c r="H125" s="70"/>
    </row>
    <row r="126" spans="2:8" s="64" customFormat="1" ht="15" x14ac:dyDescent="0.3">
      <c r="B126" s="68"/>
      <c r="C126" s="69"/>
      <c r="D126" s="69"/>
      <c r="E126" s="69"/>
      <c r="F126" s="77" t="s">
        <v>312</v>
      </c>
      <c r="G126" s="79">
        <f>IF(F126=CONCATENATE(G14,":",J14),Y14)+IF(F126=CONCATENATE(G16,":",J16),Y16)+IF(F126=CONCATENATE(G18,":",J18),Y18)+IF(F126=CONCATENATE(G20,":",J20),Y20)+IF(F126=CONCATENATE(G22,":",J22),Y22)+IF(F126=CONCATENATE(G24,":",J24),Y24)+IF(F126=CONCATENATE(G26,":",J26),Y26)+IF(F126=CONCATENATE(G28,":",J28),Y28)+IF(F126=CONCATENATE(P30,":",S30),Y30)+IF(F126=CONCATENATE(P32,":",S32),Y32)+IF(F126=CONCATENATE(P34,":",S34),Y34)+IF(F126=CONCATENATE(P36,":",S36),Y36)</f>
        <v>0</v>
      </c>
      <c r="H126" s="70"/>
    </row>
    <row r="127" spans="2:8" s="64" customFormat="1" ht="15" x14ac:dyDescent="0.3">
      <c r="B127" s="68"/>
      <c r="C127" s="69"/>
      <c r="D127" s="69"/>
      <c r="E127" s="69"/>
      <c r="F127" s="77" t="s">
        <v>313</v>
      </c>
      <c r="G127" s="79">
        <f>IF(F127=CONCATENATE(G14,":",J14),Y14)+IF(F127=CONCATENATE(G16,":",J16),Y16)+IF(F127=CONCATENATE(G18,":",J18),Y18)+IF(F127=CONCATENATE(G20,":",J20),Y20)+IF(F127=CONCATENATE(G22,":",J22),Y22)+IF(F127=CONCATENATE(G24,":",J24),Y24)+IF(F127=CONCATENATE(G26,":",J26),Y26)+IF(F127=CONCATENATE(G28,":",J28),Y28)+IF(F127=CONCATENATE(P30,":",S30),Y30)+IF(F127=CONCATENATE(P32,":",S32),Y32)+IF(F127=CONCATENATE(P34,":",S34),Y34)+IF(F127=CONCATENATE(P36,":",S36),Y36)</f>
        <v>0</v>
      </c>
      <c r="H127" s="70"/>
    </row>
    <row r="128" spans="2:8" s="64" customFormat="1" ht="15" x14ac:dyDescent="0.3">
      <c r="B128" s="68"/>
      <c r="C128" s="69"/>
      <c r="D128" s="69"/>
      <c r="E128" s="69"/>
      <c r="F128" s="77" t="s">
        <v>288</v>
      </c>
      <c r="G128" s="79">
        <f>IF(F128=CONCATENATE(G14,":",J14),Y14)+IF(F128=CONCATENATE(G16,":",J16),Y16)+IF(F128=CONCATENATE(G18,":",J18),Y18)+IF(F128=CONCATENATE(G20,":",J20),Y20)+IF(F128=CONCATENATE(G22,":",J22),Y22)+IF(F128=CONCATENATE(G24,":",J24),Y24)+IF(F128=CONCATENATE(G26,":",J26),Y26)+IF(F128=CONCATENATE(G28,":",J28),Y28)+IF(F128=CONCATENATE(P30,":",S30),Y30)+IF(F128=CONCATENATE(P32,":",S32),Y32)+IF(F128=CONCATENATE(P34,":",S34),Y34)+IF(F128=CONCATENATE(P36,":",S36),Y36)</f>
        <v>0</v>
      </c>
      <c r="H128" s="70"/>
    </row>
    <row r="129" spans="2:8" s="64" customFormat="1" ht="15" x14ac:dyDescent="0.3">
      <c r="B129" s="68"/>
      <c r="C129" s="69"/>
      <c r="D129" s="69"/>
      <c r="E129" s="69"/>
      <c r="F129" s="77" t="s">
        <v>245</v>
      </c>
      <c r="G129" s="79">
        <f>IF(F129=CONCATENATE(G14,":",J14),Y14)+IF(F129=CONCATENATE(G16,":",J16),Y16)+IF(F129=CONCATENATE(G18,":",J18),Y18)+IF(F129=CONCATENATE(G20,":",J20),Y20)+IF(F129=CONCATENATE(G22,":",J22),Y22)+IF(F129=CONCATENATE(G24,":",J24),Y24)+IF(F129=CONCATENATE(G26,":",J26),Y26)+IF(F129=CONCATENATE(G28,":",J28),Y28)+IF(F129=CONCATENATE(P30,":",S30),Y30)+IF(F129=CONCATENATE(P32,":",S32),Y32)+IF(F129=CONCATENATE(P34,":",S34),Y34)+IF(F129=CONCATENATE(P36,":",S36),Y36)</f>
        <v>0</v>
      </c>
      <c r="H129" s="70"/>
    </row>
    <row r="130" spans="2:8" s="64" customFormat="1" ht="15" x14ac:dyDescent="0.3">
      <c r="B130" s="68"/>
      <c r="C130" s="69"/>
      <c r="D130" s="69"/>
      <c r="E130" s="69"/>
      <c r="F130" s="77" t="s">
        <v>246</v>
      </c>
      <c r="G130" s="79">
        <f>IF(F130=CONCATENATE(G14,":",J14),Y14)+IF(F130=CONCATENATE(G16,":",J16),Y16)+IF(F130=CONCATENATE(G18,":",J18),Y18)+IF(F130=CONCATENATE(G20,":",J20),Y20)+IF(F130=CONCATENATE(G22,":",J22),Y22)+IF(F130=CONCATENATE(G24,":",J24),Y24)+IF(F130=CONCATENATE(G26,":",J26),Y26)+IF(F130=CONCATENATE(G28,":",J28),Y28)+IF(F130=CONCATENATE(P30,":",S30),Y30)+IF(F130=CONCATENATE(P32,":",S32),Y32)+IF(F130=CONCATENATE(P34,":",S34),Y34)+IF(F130=CONCATENATE(P36,":",S36),Y36)</f>
        <v>0</v>
      </c>
      <c r="H130" s="70"/>
    </row>
    <row r="131" spans="2:8" s="64" customFormat="1" ht="15" x14ac:dyDescent="0.3">
      <c r="B131" s="68"/>
      <c r="C131" s="69"/>
      <c r="D131" s="69"/>
      <c r="E131" s="69"/>
      <c r="F131" s="77" t="s">
        <v>247</v>
      </c>
      <c r="G131" s="79">
        <f>IF(F131=CONCATENATE(G14,":",J14),Y14)+IF(F131=CONCATENATE(G16,":",J16),Y16)+IF(F131=CONCATENATE(G18,":",J18),Y18)+IF(F131=CONCATENATE(G20,":",J20),Y20)+IF(F131=CONCATENATE(G22,":",J22),Y22)+IF(F131=CONCATENATE(G24,":",J24),Y24)+IF(F131=CONCATENATE(G26,":",J26),Y26)+IF(F131=CONCATENATE(G28,":",J28),Y28)+IF(F131=CONCATENATE(P30,":",S30),Y30)+IF(F131=CONCATENATE(P32,":",S32),Y32)+IF(F131=CONCATENATE(P34,":",S34),Y34)+IF(F131=CONCATENATE(P36,":",S36),Y36)</f>
        <v>0</v>
      </c>
      <c r="H131" s="70"/>
    </row>
    <row r="132" spans="2:8" s="64" customFormat="1" ht="15" x14ac:dyDescent="0.3">
      <c r="B132" s="68"/>
      <c r="C132" s="69"/>
      <c r="D132" s="69"/>
      <c r="E132" s="69"/>
      <c r="F132" s="77" t="s">
        <v>248</v>
      </c>
      <c r="G132" s="79">
        <f>IF(F132=CONCATENATE(G14,":",J14),Y14)+IF(F132=CONCATENATE(G16,":",J16),Y16)+IF(F132=CONCATENATE(G18,":",J18),Y18)+IF(F132=CONCATENATE(G20,":",J20),Y20)+IF(F132=CONCATENATE(G22,":",J22),Y22)+IF(F132=CONCATENATE(G24,":",J24),Y24)+IF(F132=CONCATENATE(G26,":",J26),Y26)+IF(F132=CONCATENATE(G28,":",J28),Y28)+IF(F132=CONCATENATE(P30,":",S30),Y30)+IF(F132=CONCATENATE(P32,":",S32),Y32)+IF(F132=CONCATENATE(P34,":",S34),Y34)+IF(F132=CONCATENATE(P36,":",S36),Y36)</f>
        <v>0</v>
      </c>
      <c r="H132" s="70"/>
    </row>
    <row r="133" spans="2:8" s="64" customFormat="1" ht="15" x14ac:dyDescent="0.3">
      <c r="B133" s="68"/>
      <c r="C133" s="69"/>
      <c r="D133" s="69"/>
      <c r="E133" s="69"/>
      <c r="F133" s="77" t="s">
        <v>249</v>
      </c>
      <c r="G133" s="79">
        <f>IF(F133=CONCATENATE(G14,":",J14),Y14)+IF(F133=CONCATENATE(G16,":",J16),Y16)+IF(F133=CONCATENATE(G18,":",J18),Y18)+IF(F133=CONCATENATE(G20,":",J20),Y20)+IF(F133=CONCATENATE(G22,":",J22),Y22)+IF(F133=CONCATENATE(G24,":",J24),Y24)+IF(F131=CONCATENATE(G26,":",J26),Y26)+IF(F133=CONCATENATE(G28,":",J28),Y28)+IF(F133=CONCATENATE(P30,":",S30),Y30)+IF(F133=CONCATENATE(P32,":",S32),Y32)+IF(F133=CONCATENATE(P34,":",S34),Y34)+IF(F133=CONCATENATE(P36,":",S36),Y36)</f>
        <v>0</v>
      </c>
      <c r="H133" s="70"/>
    </row>
    <row r="134" spans="2:8" s="64" customFormat="1" ht="15" x14ac:dyDescent="0.3">
      <c r="B134" s="68"/>
      <c r="C134" s="69"/>
      <c r="D134" s="69"/>
      <c r="E134" s="69"/>
      <c r="F134" s="77" t="s">
        <v>250</v>
      </c>
      <c r="G134" s="79">
        <f>IF(F134=CONCATENATE(G14,":",J14),Y14)+IF(F134=CONCATENATE(G16,":",J16),Y16)+IF(F134=CONCATENATE(G18,":",J18),Y18)+IF(F134=CONCATENATE(G20,":",J20),Y20)+IF(F134=CONCATENATE(G22,":",J22),Y22)+IF(F134=CONCATENATE(G24,":",J24),Y24)+IF(F132=CONCATENATE(G26,":",J26),Y26)+IF(F134=CONCATENATE(G28,":",J28),Y28)+IF(F134=CONCATENATE(P30,":",S30),Y30)+IF(F134=CONCATENATE(P32,":",S32),Y32)+IF(F134=CONCATENATE(P34,":",S34),Y34)+IF(F134=CONCATENATE(P36,":",S36),Y36)</f>
        <v>0</v>
      </c>
      <c r="H134" s="70"/>
    </row>
    <row r="135" spans="2:8" s="64" customFormat="1" ht="15" x14ac:dyDescent="0.3">
      <c r="B135" s="68"/>
      <c r="C135" s="69"/>
      <c r="D135" s="69"/>
      <c r="E135" s="69"/>
      <c r="F135" s="80" t="s">
        <v>251</v>
      </c>
      <c r="G135" s="79">
        <f>IF(F135=CONCATENATE(G14,":",J14),Y14)+IF(F135=CONCATENATE(G16,":",J16),Y16)+IF(F135=CONCATENATE(G18,":",J18),Y18)+IF(F135=CONCATENATE(G20,":",J20),Y20)+IF(F135=CONCATENATE(G22,":",J22),Y22)+IF(F135=CONCATENATE(G24,":",J24),Y24)+IF(F135=CONCATENATE(G26,":",J26),Y26)+IF(F135=CONCATENATE(G28,":",J28),Y28)+IF(F135=CONCATENATE(P30,":",S30),Y30)+IF(F135=CONCATENATE(P32,":",S32),Y32)+IF(F135=CONCATENATE(P34,":",S34),Y34)+IF(F135=CONCATENATE(P36,":",S36),Y36)</f>
        <v>0</v>
      </c>
      <c r="H135" s="70"/>
    </row>
    <row r="136" spans="2:8" s="64" customFormat="1" ht="15" x14ac:dyDescent="0.3">
      <c r="B136" s="68"/>
      <c r="F136" s="77" t="s">
        <v>314</v>
      </c>
      <c r="G136" s="79">
        <f>IF(F136=CONCATENATE(G14,":",J14),Y14)+IF(F136=CONCATENATE(G16,":",J16),Y16)+IF(F136=CONCATENATE(G18,":",J18),Y18)+IF(F136=CONCATENATE(G20,":",J20),Y20)+IF(F136=CONCATENATE(G22,":",J22),Y22)+IF(F136=CONCATENATE(G24,":",J24),Y24)+IF(F136=CONCATENATE(G26,":",J26),Y26)+IF(F136=CONCATENATE(G28,":",J28),Y28)+IF(F136=CONCATENATE(P30,":",S30),Y30)+IF(F136=CONCATENATE(P32,":",S32),Y32)+IF(F136=CONCATENATE(P34,":",S34),Y34)+IF(F136=CONCATENATE(P36,":",S36),Y36)</f>
        <v>0</v>
      </c>
      <c r="H136" s="70"/>
    </row>
    <row r="137" spans="2:8" s="64" customFormat="1" ht="15" x14ac:dyDescent="0.3">
      <c r="B137" s="68"/>
      <c r="F137" s="77" t="s">
        <v>252</v>
      </c>
      <c r="G137" s="79">
        <f>IF(F137=CONCATENATE(G14,":",J14),Y14)+IF(F137=CONCATENATE(G16,":",J16),Y16)+IF(F137=CONCATENATE(G18,":",J18),Y18)+IF(F137=CONCATENATE(G20,":",J20),Y20)+IF(F137=CONCATENATE(G22,":",J22),Y22)+IF(F137=CONCATENATE(G24,":",J24),Y24)+IF(F137=CONCATENATE(G26,":",J26),Y26)+IF(F137=CONCATENATE(G28,":",J28),Y28)+IF(F137=CONCATENATE(P30,":",S30),Y30)+IF(F137=CONCATENATE(P32,":",S32),Y32)+IF(F137=CONCATENATE(P34,":",S34),Y34)+IF(F137=CONCATENATE(P36,":",S36),Y36)</f>
        <v>0</v>
      </c>
      <c r="H137" s="70"/>
    </row>
    <row r="138" spans="2:8" s="64" customFormat="1" ht="15" x14ac:dyDescent="0.3">
      <c r="B138" s="68"/>
      <c r="F138" s="77" t="s">
        <v>294</v>
      </c>
      <c r="G138" s="79">
        <f>IF(F138=CONCATENATE(G14,":",J14),Y14)+IF(F138=CONCATENATE(G16,":",J16),Y16)+IF(F138=CONCATENATE(G18,":",J18),Y18)+IF(F138=CONCATENATE(G20,":",J20),Y20)+IF(F138=CONCATENATE(G22,":",J22),Y22)+IF(F138=CONCATENATE(G24,":",J24),Y24)+IF(F138=CONCATENATE(G26,":",J26),Y26)+IF(F138=CONCATENATE(G28,":",J28),Y28)+IF(F138=CONCATENATE(P30,":",S30),Y30)+IF(F138=CONCATENATE(P32,":",S32),Y32)+IF(F138=CONCATENATE(P34,":",S34),Y34)+IF(F138=CONCATENATE(P36,":",S36),Y36)</f>
        <v>1.5</v>
      </c>
      <c r="H138" s="70"/>
    </row>
    <row r="139" spans="2:8" s="64" customFormat="1" ht="15" x14ac:dyDescent="0.3">
      <c r="B139" s="68"/>
      <c r="F139" s="77" t="s">
        <v>315</v>
      </c>
      <c r="G139" s="79">
        <f>IF(F139=CONCATENATE(G14,":",J14),Y14)+IF(F139=CONCATENATE(G16,":",J16),Y16)+IF(F139=CONCATENATE(G18,":",J18),Y18)+IF(F139=CONCATENATE(G20,":",J20),Y20)+IF(F139=CONCATENATE(G22,":",J22),Y22)+IF(F139=CONCATENATE(G24,":",J24),Y24)+IF(F139=CONCATENATE(G26,":",J26),Y26)+IF(F139=CONCATENATE(G28,":",J28),Y28)+IF(F139=CONCATENATE(P30,":",S30),Y30)+IF(F139=CONCATENATE(P32,":",S32),Y32)+IF(F139=CONCATENATE(P34,":",S34),Y34)+IF(F139=CONCATENATE(P36,":",S36),Y36)</f>
        <v>0</v>
      </c>
      <c r="H139" s="70"/>
    </row>
    <row r="140" spans="2:8" s="64" customFormat="1" ht="15" x14ac:dyDescent="0.3">
      <c r="B140" s="68"/>
      <c r="F140" s="77" t="s">
        <v>319</v>
      </c>
      <c r="G140" s="79">
        <f>IF(F140=CONCATENATE(G14,":",J14),Y14)+IF(F140=CONCATENATE(G16,":",J16),Y16)+IF(F140=CONCATENATE(G18,":",J18),Y18)+IF(F140=CONCATENATE(G20,":",J20),Y20)+IF(F140=CONCATENATE(G22,":",J22),Y22)+IF(F140=CONCATENATE(G24,":",J24),Y24)+IF(F140=CONCATENATE(G26,":",J26),Y26)+IF(F140=CONCATENATE(G28,":",J28),Y28)+IF(F140=CONCATENATE(P30,":",S30),Y30)+IF(F140=CONCATENATE(P32,":",S32),Y32)+IF(F140=CONCATENATE(P34,":",S34),Y34)+IF(F140=CONCATENATE(P36,":",S36),Y36)</f>
        <v>0</v>
      </c>
      <c r="H140" s="70"/>
    </row>
    <row r="141" spans="2:8" s="64" customFormat="1" ht="15" x14ac:dyDescent="0.3">
      <c r="B141" s="68"/>
      <c r="F141" s="77" t="s">
        <v>282</v>
      </c>
      <c r="G141" s="79">
        <f>IF(F141=CONCATENATE(G14,":",J14),Y14)+IF(F141=CONCATENATE(G16,":",J16),Y16)+IF(F141=CONCATENATE(G18,":",J18),Y18)+IF(F141=CONCATENATE(G20,":",J20),Y20)+IF(F141=CONCATENATE(G22,":",J22),Y22)+IF(F141=CONCATENATE(G24,":",J24),Y24)+IF(F141=CONCATENATE(G26,":",J26),Y26)+IF(F141=CONCATENATE(G28,":",J28),Y28)+IF(F141=CONCATENATE(P30,":",S30),Y30)+IF(F141=CONCATENATE(P32,":",S32),Y32)+IF(F141=CONCATENATE(P34,":",S34),Y34)+IF(F141=CONCATENATE(P36,":",S36),Y36)</f>
        <v>0</v>
      </c>
      <c r="H141" s="70"/>
    </row>
    <row r="142" spans="2:8" s="64" customFormat="1" ht="15" x14ac:dyDescent="0.3">
      <c r="B142" s="71"/>
      <c r="C142" s="72"/>
      <c r="D142" s="72"/>
      <c r="E142" s="72"/>
      <c r="F142" s="81" t="s">
        <v>283</v>
      </c>
      <c r="G142" s="76">
        <f>IF(F142=CONCATENATE(G14,":",J14),Y14)+IF(F142=CONCATENATE(G16,":",J16),Y16)+IF(F142=CONCATENATE(G18,":",J18),Y18)+IF(F142=CONCATENATE(G20,":",J20),Y20)+IF(F142=CONCATENATE(G22,":",J22),Y22)+IF(F142=CONCATENATE(G24,":",J24),Y24)+IF(F142=CONCATENATE(G26,":",J26),Y26)+IF(F142=CONCATENATE(G28,":",J28),Y28)+IF(F142=CONCATENATE(P30,":",S30),Y30)+IF(F142=CONCATENATE(P32,":",S32),Y32)+IF(F142=CONCATENATE(P34,":",S34),Y34)+IF(F142=CONCATENATE(P36,":",S36),Y36)</f>
        <v>0</v>
      </c>
      <c r="H142" s="73"/>
    </row>
    <row r="143" spans="2:8" s="64" customFormat="1" x14ac:dyDescent="0.3"/>
  </sheetData>
  <mergeCells count="1">
    <mergeCell ref="D4:G4"/>
  </mergeCells>
  <dataValidations count="9">
    <dataValidation type="list" showInputMessage="1" showErrorMessage="1" error="please select from list values" prompt="select product when applicable" sqref="M14 M16 M18 M26 M32 M34 M36 M20 M22 M24 M30 M28">
      <formula1>IF(D14="Customer",Primary,INDIRECT("formdata!A2"))</formula1>
    </dataValidation>
    <dataValidation type="list" showInputMessage="1" showErrorMessage="1" error="please select from list values" prompt="select interaction when applicable" sqref="P14 P34 P32 P26 P18 P16 P36 P20 P22 P24 P30 P28">
      <formula1>IF(D14="Customer",Interaction,INDIRECT("formdata!A2"))</formula1>
    </dataValidation>
    <dataValidation type="list" showInputMessage="1" showErrorMessage="1" error="please select from list values" prompt="select sub-type when applicable" sqref="S14 S34 S32 S18 S26 S16 S36 S20 S22 S24 S30 S28">
      <formula1>IF(D14="Customer",INDIRECT(P14),INDIRECT(G14))</formula1>
    </dataValidation>
    <dataValidation type="list" allowBlank="1" showInputMessage="1" showErrorMessage="1" prompt="select CSA" sqref="D4">
      <formula1>Names</formula1>
    </dataValidation>
    <dataValidation type="date" operator="greaterThan" allowBlank="1" showInputMessage="1" showErrorMessage="1" prompt="enter date" sqref="D6">
      <formula1>42005</formula1>
    </dataValidation>
    <dataValidation type="list" allowBlank="1" showInputMessage="1" showErrorMessage="1" sqref="D5">
      <formula1>Names</formula1>
    </dataValidation>
    <dataValidation type="list" showInputMessage="1" showErrorMessage="1" error="please select from list values" prompt="please select category" sqref="G26 G16 G18 G32 G14 G34 G36 G20 G22 G24 G30 G28">
      <formula1>INDIRECT(D14)</formula1>
    </dataValidation>
    <dataValidation type="list" showInputMessage="1" showErrorMessage="1" sqref="D16 D32 D18 D26 D14 D34 D36 D20 D22 D24 D30 D28">
      <formula1>Utilizations</formula1>
    </dataValidation>
    <dataValidation type="list" showInputMessage="1" showErrorMessage="1" errorTitle="&lt;&lt;SELECTION ERROR&gt;&gt;" error="please select from list values" prompt="select customer when applicable" sqref="J22 J16 J18 J20 J24 J26 J28 J30 J32 J34 J36 J14">
      <formula1>IF(D14="Customer",INDIRECT(G14),IF(D14="Travel",ALL_Customers,INDIRECT("formdata!A2")))</formula1>
    </dataValidation>
  </dataValidations>
  <pageMargins left="0.7" right="0.7" top="0.75" bottom="0.75" header="0.3" footer="0.3"/>
  <pageSetup orientation="portrait" horizontalDpi="4294967293" verticalDpi="4294967293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143"/>
  <sheetViews>
    <sheetView zoomScaleNormal="100" workbookViewId="0"/>
  </sheetViews>
  <sheetFormatPr defaultRowHeight="14.4" x14ac:dyDescent="0.3"/>
  <cols>
    <col min="1" max="1" width="1.77734375" style="3" customWidth="1"/>
    <col min="2" max="2" width="14.77734375" style="3" customWidth="1"/>
    <col min="3" max="3" width="1.77734375" style="3" customWidth="1"/>
    <col min="4" max="4" width="14.77734375" style="3" customWidth="1"/>
    <col min="5" max="5" width="1.77734375" style="3" customWidth="1"/>
    <col min="6" max="6" width="2.77734375" style="3" customWidth="1"/>
    <col min="7" max="7" width="14.77734375" style="3" customWidth="1"/>
    <col min="8" max="8" width="1.77734375" style="3" customWidth="1"/>
    <col min="9" max="9" width="2.77734375" style="3" customWidth="1"/>
    <col min="10" max="10" width="20.77734375" style="3" customWidth="1"/>
    <col min="11" max="11" width="1.77734375" style="3" customWidth="1"/>
    <col min="12" max="12" width="2.77734375" style="3" customWidth="1"/>
    <col min="13" max="13" width="8.77734375" style="3" customWidth="1"/>
    <col min="14" max="14" width="1.77734375" style="3" customWidth="1"/>
    <col min="15" max="15" width="2.77734375" style="3" customWidth="1"/>
    <col min="16" max="16" width="14.77734375" style="3" customWidth="1"/>
    <col min="17" max="17" width="1.77734375" style="3" customWidth="1"/>
    <col min="18" max="18" width="2.77734375" style="3" customWidth="1"/>
    <col min="19" max="19" width="20.77734375" style="3" customWidth="1"/>
    <col min="20" max="20" width="1.77734375" style="3" customWidth="1"/>
    <col min="21" max="21" width="2.77734375" style="3" customWidth="1"/>
    <col min="22" max="22" width="46.77734375" style="3" customWidth="1"/>
    <col min="23" max="23" width="1.77734375" style="3" customWidth="1"/>
    <col min="24" max="24" width="2.77734375" style="3" customWidth="1"/>
    <col min="25" max="25" width="10.77734375" style="3" customWidth="1"/>
    <col min="26" max="26" width="2.77734375" style="3" customWidth="1"/>
    <col min="27" max="16384" width="8.88671875" style="3"/>
  </cols>
  <sheetData>
    <row r="1" spans="2:25" ht="7.95" customHeight="1" x14ac:dyDescent="0.3"/>
    <row r="2" spans="2:25" s="5" customFormat="1" ht="22.05" customHeight="1" x14ac:dyDescent="0.4">
      <c r="B2" s="15" t="s">
        <v>201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2:25" ht="12" customHeight="1" x14ac:dyDescent="0.3"/>
    <row r="4" spans="2:25" s="5" customFormat="1" ht="18" customHeight="1" x14ac:dyDescent="0.35">
      <c r="B4" s="6" t="s">
        <v>0</v>
      </c>
      <c r="D4" s="82" t="s">
        <v>1</v>
      </c>
      <c r="E4" s="83"/>
      <c r="F4" s="83"/>
      <c r="G4" s="84"/>
    </row>
    <row r="5" spans="2:25" s="5" customFormat="1" ht="12" customHeight="1" x14ac:dyDescent="0.3">
      <c r="B5" s="6"/>
    </row>
    <row r="6" spans="2:25" ht="18" customHeight="1" x14ac:dyDescent="0.35">
      <c r="B6" s="6" t="s">
        <v>3</v>
      </c>
      <c r="D6" s="20">
        <f>MONDAY!D6+5</f>
        <v>42308</v>
      </c>
      <c r="G6" s="13" t="str">
        <f>UPPER(TEXT(D6,"DDDD"))</f>
        <v>SATURDAY</v>
      </c>
    </row>
    <row r="7" spans="2:25" ht="12" customHeight="1" x14ac:dyDescent="0.3"/>
    <row r="8" spans="2:25" s="5" customFormat="1" ht="18" customHeight="1" x14ac:dyDescent="0.3">
      <c r="B8" s="6" t="s">
        <v>27</v>
      </c>
      <c r="D8" s="16">
        <f>SUM(Y14:Y34)</f>
        <v>0.5</v>
      </c>
      <c r="P8" s="6"/>
      <c r="V8" s="6"/>
      <c r="Y8" s="7"/>
    </row>
    <row r="9" spans="2:25" s="5" customFormat="1" ht="12" customHeight="1" x14ac:dyDescent="0.3">
      <c r="B9" s="6"/>
      <c r="P9" s="6"/>
      <c r="V9" s="6"/>
      <c r="Y9" s="7"/>
    </row>
    <row r="10" spans="2:25" ht="42" customHeight="1" x14ac:dyDescent="0.3"/>
    <row r="11" spans="2:25" ht="4.9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</row>
    <row r="12" spans="2:25" s="11" customFormat="1" ht="15.6" x14ac:dyDescent="0.3">
      <c r="B12" s="9" t="s">
        <v>4</v>
      </c>
      <c r="C12" s="9"/>
      <c r="D12" s="9" t="s">
        <v>5</v>
      </c>
      <c r="E12" s="9"/>
      <c r="F12" s="9"/>
      <c r="G12" s="10" t="s">
        <v>10</v>
      </c>
      <c r="H12" s="9"/>
      <c r="I12" s="9"/>
      <c r="J12" s="9" t="s">
        <v>11</v>
      </c>
      <c r="K12" s="9"/>
      <c r="L12" s="9"/>
      <c r="M12" s="9" t="s">
        <v>23</v>
      </c>
      <c r="N12" s="9"/>
      <c r="P12" s="10" t="s">
        <v>28</v>
      </c>
      <c r="Q12" s="9"/>
      <c r="R12" s="9"/>
      <c r="S12" s="9" t="s">
        <v>29</v>
      </c>
      <c r="T12" s="9"/>
      <c r="V12" s="10" t="s">
        <v>92</v>
      </c>
      <c r="W12" s="9"/>
      <c r="Y12" s="9" t="s">
        <v>12</v>
      </c>
    </row>
    <row r="13" spans="2:25" ht="4.9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2:25" s="14" customFormat="1" x14ac:dyDescent="0.3">
      <c r="B14" s="26">
        <v>1</v>
      </c>
      <c r="D14" s="26" t="s">
        <v>7</v>
      </c>
      <c r="E14" s="26"/>
      <c r="F14" s="26"/>
      <c r="G14" s="26" t="s">
        <v>35</v>
      </c>
      <c r="H14" s="26"/>
      <c r="I14" s="26"/>
      <c r="J14" s="26" t="s">
        <v>293</v>
      </c>
      <c r="K14" s="26"/>
      <c r="L14" s="26"/>
      <c r="M14" s="26" t="s">
        <v>202</v>
      </c>
      <c r="N14" s="26"/>
      <c r="O14" s="26"/>
      <c r="P14" s="26" t="s">
        <v>24</v>
      </c>
      <c r="Q14" s="26"/>
      <c r="R14" s="26"/>
      <c r="S14" s="26" t="s">
        <v>196</v>
      </c>
      <c r="T14" s="26"/>
      <c r="U14" s="26"/>
      <c r="V14" s="58" t="s">
        <v>340</v>
      </c>
      <c r="W14" s="26"/>
      <c r="X14" s="26"/>
      <c r="Y14" s="29">
        <v>0.5</v>
      </c>
    </row>
    <row r="15" spans="2:25" ht="4.95" customHeight="1" x14ac:dyDescent="0.3">
      <c r="B15" s="27"/>
      <c r="C15" s="12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60"/>
      <c r="W15" s="27"/>
      <c r="X15" s="27"/>
      <c r="Y15" s="30"/>
    </row>
    <row r="16" spans="2:25" s="14" customFormat="1" x14ac:dyDescent="0.3">
      <c r="B16" s="26">
        <v>2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58"/>
      <c r="W16" s="26"/>
      <c r="X16" s="26"/>
      <c r="Y16" s="29">
        <v>0</v>
      </c>
    </row>
    <row r="17" spans="2:25" ht="4.95" customHeight="1" x14ac:dyDescent="0.3">
      <c r="B17" s="27"/>
      <c r="C17" s="12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60"/>
      <c r="W17" s="27"/>
      <c r="X17" s="27"/>
      <c r="Y17" s="30"/>
    </row>
    <row r="18" spans="2:25" s="14" customFormat="1" x14ac:dyDescent="0.3">
      <c r="B18" s="26">
        <v>3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58"/>
      <c r="W18" s="26"/>
      <c r="X18" s="26"/>
      <c r="Y18" s="29">
        <v>0</v>
      </c>
    </row>
    <row r="19" spans="2:25" ht="4.95" customHeight="1" x14ac:dyDescent="0.3">
      <c r="B19" s="27"/>
      <c r="C19" s="12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60"/>
      <c r="W19" s="27"/>
      <c r="X19" s="27"/>
      <c r="Y19" s="30"/>
    </row>
    <row r="20" spans="2:25" s="14" customFormat="1" x14ac:dyDescent="0.3">
      <c r="B20" s="26">
        <v>4</v>
      </c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58"/>
      <c r="W20" s="26"/>
      <c r="X20" s="26"/>
      <c r="Y20" s="29">
        <v>0</v>
      </c>
    </row>
    <row r="21" spans="2:25" ht="4.95" customHeight="1" x14ac:dyDescent="0.3">
      <c r="B21" s="27"/>
      <c r="C21" s="12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60"/>
      <c r="W21" s="27"/>
      <c r="X21" s="27"/>
      <c r="Y21" s="30"/>
    </row>
    <row r="22" spans="2:25" s="14" customFormat="1" x14ac:dyDescent="0.3">
      <c r="B22" s="26">
        <v>5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58"/>
      <c r="W22" s="26"/>
      <c r="X22" s="26"/>
      <c r="Y22" s="29">
        <v>0</v>
      </c>
    </row>
    <row r="23" spans="2:25" ht="4.95" customHeight="1" x14ac:dyDescent="0.3">
      <c r="B23" s="27"/>
      <c r="C23" s="12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60"/>
      <c r="W23" s="27"/>
      <c r="X23" s="27"/>
      <c r="Y23" s="30"/>
    </row>
    <row r="24" spans="2:25" s="14" customFormat="1" x14ac:dyDescent="0.3">
      <c r="B24" s="26">
        <v>6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58"/>
      <c r="W24" s="26"/>
      <c r="X24" s="26"/>
      <c r="Y24" s="29">
        <v>0</v>
      </c>
    </row>
    <row r="25" spans="2:25" ht="4.95" customHeight="1" x14ac:dyDescent="0.3">
      <c r="B25" s="27"/>
      <c r="C25" s="12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60"/>
      <c r="W25" s="27"/>
      <c r="X25" s="27"/>
      <c r="Y25" s="30"/>
    </row>
    <row r="26" spans="2:25" s="14" customFormat="1" x14ac:dyDescent="0.3">
      <c r="B26" s="26">
        <v>7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58"/>
      <c r="W26" s="26"/>
      <c r="X26" s="26"/>
      <c r="Y26" s="29">
        <v>0</v>
      </c>
    </row>
    <row r="27" spans="2:25" ht="4.95" customHeight="1" x14ac:dyDescent="0.3">
      <c r="B27" s="27"/>
      <c r="C27" s="12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60"/>
      <c r="W27" s="27"/>
      <c r="X27" s="27"/>
      <c r="Y27" s="30"/>
    </row>
    <row r="28" spans="2:25" s="14" customFormat="1" x14ac:dyDescent="0.3">
      <c r="B28" s="26">
        <v>8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58"/>
      <c r="W28" s="26"/>
      <c r="X28" s="26"/>
      <c r="Y28" s="29">
        <v>0</v>
      </c>
    </row>
    <row r="29" spans="2:25" ht="4.95" customHeight="1" x14ac:dyDescent="0.3">
      <c r="B29" s="27"/>
      <c r="C29" s="12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60"/>
      <c r="W29" s="27"/>
      <c r="X29" s="27"/>
      <c r="Y29" s="30"/>
    </row>
    <row r="30" spans="2:25" s="14" customFormat="1" x14ac:dyDescent="0.3">
      <c r="B30" s="26">
        <v>9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58"/>
      <c r="W30" s="26"/>
      <c r="X30" s="26"/>
      <c r="Y30" s="29">
        <v>0</v>
      </c>
    </row>
    <row r="31" spans="2:25" ht="4.95" customHeight="1" x14ac:dyDescent="0.3">
      <c r="B31" s="27"/>
      <c r="C31" s="12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60"/>
      <c r="W31" s="27"/>
      <c r="X31" s="27"/>
      <c r="Y31" s="30"/>
    </row>
    <row r="32" spans="2:25" s="14" customFormat="1" x14ac:dyDescent="0.3">
      <c r="B32" s="26">
        <v>10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58"/>
      <c r="W32" s="26"/>
      <c r="X32" s="26"/>
      <c r="Y32" s="29">
        <v>0</v>
      </c>
    </row>
    <row r="33" spans="2:25" ht="4.95" customHeight="1" x14ac:dyDescent="0.3">
      <c r="B33" s="27"/>
      <c r="C33" s="12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60"/>
      <c r="W33" s="27"/>
      <c r="X33" s="27"/>
      <c r="Y33" s="30"/>
    </row>
    <row r="34" spans="2:25" s="14" customFormat="1" x14ac:dyDescent="0.3">
      <c r="B34" s="26">
        <v>11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58"/>
      <c r="W34" s="26"/>
      <c r="X34" s="26"/>
      <c r="Y34" s="29">
        <v>0</v>
      </c>
    </row>
    <row r="35" spans="2:25" ht="4.95" customHeight="1" x14ac:dyDescent="0.3">
      <c r="B35" s="27"/>
      <c r="C35" s="12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60"/>
      <c r="W35" s="27"/>
      <c r="X35" s="27"/>
      <c r="Y35" s="30"/>
    </row>
    <row r="36" spans="2:25" s="14" customFormat="1" x14ac:dyDescent="0.3">
      <c r="B36" s="26">
        <v>12</v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58"/>
      <c r="W36" s="26"/>
      <c r="X36" s="26"/>
      <c r="Y36" s="29">
        <v>0</v>
      </c>
    </row>
    <row r="37" spans="2:25" ht="4.95" customHeight="1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2:25" ht="4.95" customHeight="1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</row>
    <row r="39" spans="2:25" ht="37.950000000000003" customHeight="1" x14ac:dyDescent="0.3"/>
    <row r="45" spans="2:25" x14ac:dyDescent="0.3">
      <c r="B45" s="19" t="s">
        <v>210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ht="4.95" customHeight="1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2:25" ht="15" x14ac:dyDescent="0.3">
      <c r="B47" s="31"/>
      <c r="C47" s="43" t="s">
        <v>204</v>
      </c>
      <c r="D47" s="74">
        <f>IF(M14=C47,Y14) + IF(M16=C47,Y16) + IF(M18=C47,Y18) + IF(M20=C47,Y20) + IF(M22=C47,Y22) + IF(M24=C47,Y24) + IF(M26=C47,Y26) + IF(M28=C47,Y28) + IF(M30=C47,Y30) + IF(M32=C47,Y32) + IF(M34=C47,Y34) + IF(M36=C47,Y36)</f>
        <v>0</v>
      </c>
      <c r="E47" s="33"/>
      <c r="I47" s="18"/>
    </row>
    <row r="48" spans="2:25" ht="15" x14ac:dyDescent="0.3">
      <c r="B48" s="34"/>
      <c r="C48" s="44" t="s">
        <v>202</v>
      </c>
      <c r="D48" s="75">
        <f>IF(M14=C48,Y14) + IF(M16=C48,Y16) + IF(M18=C48,Y18) + IF(M20=C48,Y20) + IF(M22=C48,Y22) + IF(M24=C48,Y24) + IF(M26=C48,Y26) + IF(M28=C48,Y28) + IF(M30=C48,Y30) + IF(M32=C48,Y32) + IF(M34=C48,Y34) + IF(M36=C48,Y36)</f>
        <v>0.5</v>
      </c>
      <c r="E48" s="36"/>
      <c r="I48" s="18"/>
    </row>
    <row r="49" spans="2:9" ht="15" x14ac:dyDescent="0.3">
      <c r="B49" s="34"/>
      <c r="C49" s="44" t="s">
        <v>203</v>
      </c>
      <c r="D49" s="75">
        <f>IF(M14=C49,Y14) + IF(M16=C49,Y16) + IF(M18=C49,Y18) + IF(M20=C49,Y20) + IF(M22=C49,Y22) + IF(M24=C49,Y24) + IF(M26=C49,Y26) + IF(M28=C49,Y28) + IF(M30=C49,Y30) + IF(M32=C49,Y32) + IF(M34=C49,Y34) + IF(M36=C49,Y36)</f>
        <v>0</v>
      </c>
      <c r="E49" s="36"/>
      <c r="I49" s="18"/>
    </row>
    <row r="50" spans="2:9" ht="15" x14ac:dyDescent="0.3">
      <c r="B50" s="34"/>
      <c r="C50" s="44" t="s">
        <v>162</v>
      </c>
      <c r="D50" s="75">
        <f>IF(M14=C50,Y14) + IF(M16=C50,Y16) + IF(M18=C50,Y18) + IF(M20=C50,Y20) + IF(M22=C50,Y22) + IF(M24=C50,Y24) + IF(M26=C50,Y26) + IF(M28=C50,Y28) + IF(M30=C50,Y30) + IF(M32=C50,Y32) + IF(M34=C50,Y34) + IF(M36=C50,Y36)</f>
        <v>0</v>
      </c>
      <c r="E50" s="36"/>
      <c r="I50" s="18"/>
    </row>
    <row r="51" spans="2:9" ht="15" x14ac:dyDescent="0.3">
      <c r="B51" s="34"/>
      <c r="C51" s="44" t="s">
        <v>209</v>
      </c>
      <c r="D51" s="75">
        <f>IF(M14=C51,Y14) + IF(M16=C51,Y16) + IF(M18=C51,Y18) + IF(M20=C51,Y20) + IF(M22=C51,Y22) + IF(M24=C51,Y24) + IF(M26=C51,Y26) + IF(M28=C51,Y28) + IF(M30=C51,Y30) + IF(M32=C51,Y32) + IF(M34=C51,Y34) + IF(M36=C51,Y36)</f>
        <v>0</v>
      </c>
      <c r="E51" s="36"/>
    </row>
    <row r="52" spans="2:9" ht="15" x14ac:dyDescent="0.3">
      <c r="B52" s="34"/>
      <c r="C52" s="44" t="s">
        <v>127</v>
      </c>
      <c r="D52" s="75">
        <f>IF(M14=C52,Y14) + IF(M16=C52,Y16) + IF(M18=C52,Y18) + IF(M20=C52,Y20) + IF(M22=C52,Y22) + IF(M24=C52,Y24) + IF(M26=C52,Y26) + IF(M28=C52,Y28) + IF(M30=C52,Y30) + IF(M32=C52,Y32) + IF(M34=C52,Y34) + IF(M36=C52,Y36)</f>
        <v>0</v>
      </c>
      <c r="E52" s="36"/>
    </row>
    <row r="53" spans="2:9" ht="15" x14ac:dyDescent="0.3">
      <c r="B53" s="34"/>
      <c r="C53" s="44" t="s">
        <v>206</v>
      </c>
      <c r="D53" s="75">
        <f>IF(M14=C53,Y14) + IF(M16=C53,Y16) + IF(M18=C53,Y18) + IF(M20=C53,Y20) + IF(M22=C53,Y22) + IF(M24=C53,Y24) + IF(M26=C53,Y26) + IF(M28=C53,Y28) + IF(M30=C53,Y30) + IF(M32=C53,Y32) + IF(M34=C53,Y34) + IF(M36=C53,Y36)</f>
        <v>0</v>
      </c>
      <c r="E53" s="36"/>
    </row>
    <row r="54" spans="2:9" ht="15" x14ac:dyDescent="0.3">
      <c r="B54" s="37"/>
      <c r="C54" s="45" t="s">
        <v>207</v>
      </c>
      <c r="D54" s="76">
        <f>IF(M14=C54,Y14) + IF(M16=C54,Y16) + IF(M18=C54,Y18) + IF(M20=C54,Y20) + IF(M22=C54,Y22) + IF(M24=C54,Y24) + IF(M26=C54,Y26) + IF(M28=C54,Y28) + IF(M30=C54,Y30) + IF(M32=C54,Y32) + IF(M34=C54,Y34) + IF(M36=C54,Y36)</f>
        <v>0</v>
      </c>
      <c r="E54" s="39"/>
    </row>
    <row r="57" spans="2:9" ht="15" x14ac:dyDescent="0.3">
      <c r="B57" s="31"/>
      <c r="C57" s="43" t="s">
        <v>7</v>
      </c>
      <c r="D57" s="74">
        <f>IF(D14=C57,Y14) + IF(D16=C57,Y16) + IF(D18=C57,Y18) + IF(D20=C57,Y20) + IF(D22=C57,Y22) + IF(D24=C57,Y24) + IF(D26=C57,Y26) + IF(D28=C57,Y28) + IF(D30=C57,Y30) + IF(D32=C57,Y32) + IF(D34=C57,Y34) + IF(D36=C57,Y36)</f>
        <v>0.5</v>
      </c>
      <c r="E57" s="33"/>
    </row>
    <row r="58" spans="2:9" ht="15" x14ac:dyDescent="0.3">
      <c r="B58" s="34"/>
      <c r="C58" s="44" t="s">
        <v>6</v>
      </c>
      <c r="D58" s="75">
        <f>IF(D14=C58,Y14) + IF(D16=C58,Y16) + IF(D18=C58,Y18) + IF(D20=C58,Y20) + IF(D22=C58,Y22) + IF(D24=C58,Y24) + IF(D26=C58,Y26) + IF(D28=C58,Y28) + IF(D30=C58,Y30) + IF(D32=C58,Y32) + IF(D34=C58,Y34) + IF(D36=C58,Y36)</f>
        <v>0</v>
      </c>
      <c r="E58" s="36"/>
    </row>
    <row r="59" spans="2:9" ht="15" x14ac:dyDescent="0.3">
      <c r="B59" s="34"/>
      <c r="C59" s="44" t="s">
        <v>9</v>
      </c>
      <c r="D59" s="75">
        <f>IF(D14=C59,Y14) + IF(D16=C59,Y16) + IF(D18=C59,Y18) + IF(D20=C59,Y20) + IF(D22=C59,Y22) + IF(D24=C59,Y24) + IF(D26=C59,Y26) + IF(D28=C59,Y28) + IF(D30=C59,Y30) + IF(D32=C59,Y32) + IF(D34=C59,Y34) + IF(D36=C59,Y36)</f>
        <v>0</v>
      </c>
      <c r="E59" s="36"/>
    </row>
    <row r="60" spans="2:9" ht="15" x14ac:dyDescent="0.3">
      <c r="B60" s="37"/>
      <c r="C60" s="45" t="s">
        <v>8</v>
      </c>
      <c r="D60" s="76">
        <f>IF(D14=C60,Y14) + IF(D16=C60,Y16) + IF(D18=C60,Y18) + IF(D20=C60,Y20) + IF(D22=C60,Y22) + IF(D24=C60,Y24) + IF(D26=C60,Y26) + IF(D28=C60,Y28) + IF(D30=C60,Y30) + IF(D32=C60,Y32) + IF(D34=C60,Y34) + IF(D36=C60,Y36)</f>
        <v>0</v>
      </c>
      <c r="E60" s="39"/>
    </row>
    <row r="63" spans="2:9" ht="15" x14ac:dyDescent="0.3">
      <c r="B63" s="31"/>
      <c r="C63" s="32"/>
      <c r="D63" s="32"/>
      <c r="E63" s="32"/>
      <c r="F63" s="40" t="s">
        <v>253</v>
      </c>
      <c r="G63" s="74">
        <f>IF(F63=CONCATENATE(P14,":",S14),Y14)+IF(F63=CONCATENATE(P16,":",S16),Y16)+IF(F63=CONCATENATE(P18,":",S18),Y18)+IF(F63=CONCATENATE(P20,":",S20),Y20)+IF(F63=CONCATENATE(P22,":",S22),Y22)+IF(F63=CONCATENATE(P24,":",S24),Y24)+IF(F63=CONCATENATE(P26,":",S26),Y26)+IF(F63=CONCATENATE(P28,":",S28),Y28)+IF(F63=CONCATENATE(P30,":",S30),Y30)+IF(F63=CONCATENATE(P32,":",S32),Y32)+IF(F63=CONCATENATE(P34,":",S34),Y34)+IF(F63=CONCATENATE(P36,":",S36),Y36)+IF(F63=CONCATENATE(P36,":",S36),Y36)</f>
        <v>0</v>
      </c>
      <c r="H63" s="33"/>
    </row>
    <row r="64" spans="2:9" ht="15" x14ac:dyDescent="0.3">
      <c r="B64" s="34"/>
      <c r="C64" s="35"/>
      <c r="D64" s="35"/>
      <c r="E64" s="35"/>
      <c r="F64" s="41" t="s">
        <v>254</v>
      </c>
      <c r="G64" s="75">
        <f>IF(F64=CONCATENATE(P14,":",S14),Y14)+IF(F64=CONCATENATE(P16,":",S16),Y16)+IF(F64=CONCATENATE(P18,":",S18),Y18)+IF(F64=CONCATENATE(P20,":",S20),Y20)+IF(F64=CONCATENATE(P22,":",S22),Y22)+IF(F64=CONCATENATE(P24,":",S24),Y24)+IF(F64=CONCATENATE(P26,":",S26),Y26)+IF(F64=CONCATENATE(P28,":",S28),Y28)+IF(F64=CONCATENATE(P30,":",S30),Y30)+IF(F64=CONCATENATE(P32,":",S32),Y32)+IF(F64=CONCATENATE(P34,":",S34),Y34)+IF(F64=CONCATENATE(P36,":",S36),Y36)+IF(F64=CONCATENATE(P36,":",S36),Y36)</f>
        <v>0</v>
      </c>
      <c r="H64" s="36"/>
    </row>
    <row r="65" spans="2:8" ht="15" x14ac:dyDescent="0.3">
      <c r="B65" s="34"/>
      <c r="C65" s="35"/>
      <c r="D65" s="35"/>
      <c r="E65" s="35"/>
      <c r="F65" s="41" t="s">
        <v>255</v>
      </c>
      <c r="G65" s="75">
        <f>IF(F65=CONCATENATE(P14,":",S14),Y14)+IF(F65=CONCATENATE(P16,":",S16),Y16)+IF(F65=CONCATENATE(P18,":",S18),Y18)+IF(F65=CONCATENATE(P20,":",S20),Y20)+IF(F65=CONCATENATE(P22,":",S22),Y22)+IF(F65=CONCATENATE(P24,":",S24),Y24)+IF(F65=CONCATENATE(P26,":",S26),Y26)+IF(F65=CONCATENATE(P28,":",S28),Y28)+IF(F65=CONCATENATE(P30,":",S30),Y30)+IF(F65=CONCATENATE(P32,":",S32),Y32)+IF(F65=CONCATENATE(P34,":",S34),Y34)+IF(F65=CONCATENATE(P36,":",S36),Y36)+IF(F65=CONCATENATE(P36,":",S36),Y36)</f>
        <v>0</v>
      </c>
      <c r="H65" s="36"/>
    </row>
    <row r="66" spans="2:8" ht="15" x14ac:dyDescent="0.3">
      <c r="B66" s="34"/>
      <c r="C66" s="35"/>
      <c r="D66" s="35"/>
      <c r="E66" s="35"/>
      <c r="F66" s="41" t="s">
        <v>297</v>
      </c>
      <c r="G66" s="75">
        <f>IF(F66=CONCATENATE(P14,":",S14),Y14)+IF(F66=CONCATENATE(P16,":",S16),Y16)+IF(F66=CONCATENATE(P18,":",S18),Y18)+IF(F66=CONCATENATE(P20,":",S20),Y20)+IF(F66=CONCATENATE(P22,":",S22),Y22)+IF(F66=CONCATENATE(P24,":",S24),Y24)+IF(F66=CONCATENATE(P26,":",S26),Y26)+IF(F66=CONCATENATE(P28,":",S28),Y28)+IF(F66=CONCATENATE(P30,":",S30),Y30)+IF(F66=CONCATENATE(P32,":",S32),Y32)+IF(F66=CONCATENATE(P34,":",S34),Y34)+IF(F66=CONCATENATE(P36,":",S36),Y36)+IF(F66=CONCATENATE(P36,":",S36),Y36)</f>
        <v>0</v>
      </c>
      <c r="H66" s="36"/>
    </row>
    <row r="67" spans="2:8" s="64" customFormat="1" ht="15" x14ac:dyDescent="0.3">
      <c r="B67" s="68"/>
      <c r="C67" s="69"/>
      <c r="D67" s="69"/>
      <c r="E67" s="69"/>
      <c r="F67" s="41" t="s">
        <v>256</v>
      </c>
      <c r="G67" s="75">
        <f>IF(F67=CONCATENATE(P14,":",S14),Y14)+IF(F67=CONCATENATE(P16,":",S16),Y16)+IF(F67=CONCATENATE(P18,":",S18),Y18)+IF(F67=CONCATENATE(P20,":",S20),Y20)+IF(F67=CONCATENATE(P22,":",S22),Y22)+IF(F67=CONCATENATE(P24,":",S24),Y24)+IF(F67=CONCATENATE(P26,":",S26),Y26)+IF(F67=CONCATENATE(P28,":",S28),Y28)+IF(F67=CONCATENATE(P30,":",S30),Y30)+IF(F67=CONCATENATE(P32,":",S32),Y32)+IF(F67=CONCATENATE(P34,":",S34),Y34)+IF(F67=CONCATENATE(P36,":",S36),Y36)+IF(F67=CONCATENATE(P87,":",S38),Y38)</f>
        <v>0</v>
      </c>
      <c r="H67" s="70"/>
    </row>
    <row r="68" spans="2:8" ht="15" x14ac:dyDescent="0.3">
      <c r="B68" s="34"/>
      <c r="C68" s="35"/>
      <c r="D68" s="35"/>
      <c r="E68" s="35"/>
      <c r="F68" s="41" t="s">
        <v>257</v>
      </c>
      <c r="G68" s="75">
        <f>IF(F68=CONCATENATE(P14,":",S14),Y14)+IF(F68=CONCATENATE(P16,":",S16),Y16)+IF(F68=CONCATENATE(P18,":",S18),Y18)+IF(F68=CONCATENATE(P20,":",S20),Y20)+IF(F68=CONCATENATE(P22,":",S22),Y22)+IF(F68=CONCATENATE(P24,":",S24),Y24)+IF(F68=CONCATENATE(P26,":",S26),Y26)+IF(F68=CONCATENATE(P28,":",S28),Y28)+IF(F68=CONCATENATE(P30,":",S30),Y30)+IF(F68=CONCATENATE(P32,":",S32),Y32)+IF(F68=CONCATENATE(P34,":",S34),Y34)+IF(F68=CONCATENATE(P36,":",S36),Y36)+IF(F68=CONCATENATE(P36,":",S36),Y36)</f>
        <v>0</v>
      </c>
      <c r="H68" s="36"/>
    </row>
    <row r="69" spans="2:8" ht="15" x14ac:dyDescent="0.3">
      <c r="B69" s="34"/>
      <c r="C69" s="35"/>
      <c r="D69" s="35"/>
      <c r="E69" s="35"/>
      <c r="F69" s="41" t="s">
        <v>258</v>
      </c>
      <c r="G69" s="75">
        <f>IF(F69=CONCATENATE(P14,":",S14),Y14)+IF(F69=CONCATENATE(P16,":",S16),Y16)+IF(F69=CONCATENATE(P18,":",S18),Y18)+IF(F69=CONCATENATE(P20,":",S20),Y20)+IF(F69=CONCATENATE(P22,":",S22),Y22)+IF(F69=CONCATENATE(P24,":",S24),Y24)+IF(F69=CONCATENATE(P26,":",S26),Y26)+IF(F69=CONCATENATE(P28,":",S28),Y28)+IF(F69=CONCATENATE(P30,":",S30),Y30)+IF(F69=CONCATENATE(P32,":",S32),Y32)+IF(F69=CONCATENATE(P34,":",S34),Y34)+IF(F69=CONCATENATE(P36,":",S36),Y36)+IF(F69=CONCATENATE(P36,":",S36),Y36)</f>
        <v>0</v>
      </c>
      <c r="H69" s="36"/>
    </row>
    <row r="70" spans="2:8" ht="15" x14ac:dyDescent="0.3">
      <c r="B70" s="34"/>
      <c r="C70" s="35"/>
      <c r="D70" s="35"/>
      <c r="E70" s="35"/>
      <c r="F70" s="41" t="s">
        <v>259</v>
      </c>
      <c r="G70" s="75">
        <f>IF(F70=CONCATENATE(P14,":",S14),Y14)+IF(F70=CONCATENATE(P16,":",S16),Y16)+IF(F70=CONCATENATE(P18,":",S18),Y18)+IF(F70=CONCATENATE(P20,":",S20),Y20)+IF(F70=CONCATENATE(P22,":",S22),Y22)+IF(F70=CONCATENATE(P24,":",S24),Y24)+IF(F70=CONCATENATE(P26,":",S26),Y26)+IF(F70=CONCATENATE(P28,":",S28),Y28)+IF(F70=CONCATENATE(P30,":",S30),Y30)+IF(F70=CONCATENATE(P32,":",S32),Y32)+IF(F70=CONCATENATE(P34,":",S34),Y34)+IF(F70=CONCATENATE(P36,":",S36),Y36)+IF(F70=CONCATENATE(P36,":",S36),Y36)</f>
        <v>0</v>
      </c>
      <c r="H70" s="36"/>
    </row>
    <row r="71" spans="2:8" ht="15" x14ac:dyDescent="0.3">
      <c r="B71" s="34"/>
      <c r="C71" s="35"/>
      <c r="D71" s="35"/>
      <c r="E71" s="35"/>
      <c r="F71" s="41" t="s">
        <v>260</v>
      </c>
      <c r="G71" s="75">
        <f>IF(F71=CONCATENATE(P14,":",S14),Y14)+IF(F71=CONCATENATE(P16,":",S16),Y16)+IF(F71=CONCATENATE(P18,":",S18),Y18)+IF(F71=CONCATENATE(P20,":",S20),Y20)+IF(F71=CONCATENATE(P22,":",S22),Y22)+IF(F71=CONCATENATE(P24,":",S24),Y24)+IF(F71=CONCATENATE(P26,":",S26),Y26)+IF(F71=CONCATENATE(P28,":",S28),Y28)+IF(F71=CONCATENATE(P30,":",S30),Y30)+IF(F71=CONCATENATE(P32,":",S32),Y32)+IF(F71=CONCATENATE(P34,":",S34),Y34)+IF(F71=CONCATENATE(P36,":",S36),Y36)+IF(F71=CONCATENATE(P36,":",S36),Y36)</f>
        <v>0</v>
      </c>
      <c r="H71" s="36"/>
    </row>
    <row r="72" spans="2:8" ht="15" x14ac:dyDescent="0.3">
      <c r="B72" s="34"/>
      <c r="C72" s="35"/>
      <c r="D72" s="35"/>
      <c r="E72" s="35"/>
      <c r="F72" s="41" t="s">
        <v>261</v>
      </c>
      <c r="G72" s="75">
        <f>IF(F72=CONCATENATE(P14,":",S14),Y14)+IF(F72=CONCATENATE(P16,":",S16),Y16)+IF(F72=CONCATENATE(P18,":",S18),Y18)+IF(F72=CONCATENATE(P20,":",S20),Y20)+IF(F72=CONCATENATE(P22,":",S22),Y22)+IF(F72=CONCATENATE(P24,":",S24),Y24)+IF(F72=CONCATENATE(P26,":",S26),Y26)+IF(F72=CONCATENATE(P28,":",S28),Y28)+IF(F72=CONCATENATE(P30,":",S30),Y30)+IF(F72=CONCATENATE(P32,":",S32),Y32)+IF(F72=CONCATENATE(P34,":",S34),Y34)+IF(F72=CONCATENATE(P36,":",S36),Y36)+IF(F72=CONCATENATE(P36,":",S36),Y36)</f>
        <v>0</v>
      </c>
      <c r="H72" s="36"/>
    </row>
    <row r="73" spans="2:8" ht="15" x14ac:dyDescent="0.3">
      <c r="B73" s="34"/>
      <c r="C73" s="35"/>
      <c r="D73" s="35"/>
      <c r="E73" s="35"/>
      <c r="F73" s="41" t="s">
        <v>262</v>
      </c>
      <c r="G73" s="75">
        <f>IF(F73=CONCATENATE(P14,":",S14),Y14)+IF(F73=CONCATENATE(P16,":",S16),Y16)+IF(F73=CONCATENATE(P18,":",S18),Y18)+IF(F73=CONCATENATE(P20,":",S20),Y20)+IF(F73=CONCATENATE(P22,":",S22),Y22)+IF(F73=CONCATENATE(P24,":",S24),Y24)+IF(F73=CONCATENATE(P26,":",S26),Y26)+IF(F73=CONCATENATE(P28,":",S28),Y28)+IF(F73=CONCATENATE(P30,":",S30),Y30)+IF(F73=CONCATENATE(P32,":",S32),Y32)+IF(F73=CONCATENATE(P34,":",S34),Y34)+IF(F73=CONCATENATE(P36,":",S36),Y36)+IF(F73=CONCATENATE(P36,":",S36),Y36)</f>
        <v>0.5</v>
      </c>
      <c r="H73" s="36"/>
    </row>
    <row r="74" spans="2:8" ht="15" x14ac:dyDescent="0.3">
      <c r="B74" s="34"/>
      <c r="C74" s="35"/>
      <c r="D74" s="35"/>
      <c r="E74" s="35"/>
      <c r="F74" s="41" t="s">
        <v>263</v>
      </c>
      <c r="G74" s="75">
        <f>IF(F74=CONCATENATE(P14,":",S14),Y14)+IF(F74=CONCATENATE(P16,":",S16),Y16)+IF(F74=CONCATENATE(P18,":",S18),Y18)+IF(F74=CONCATENATE(P20,":",S20),Y20)+IF(F74=CONCATENATE(P22,":",S22),Y22)+IF(F74=CONCATENATE(P24,":",S24),Y24)+IF(F74=CONCATENATE(P26,":",S26),Y26)+IF(F74=CONCATENATE(P28,":",S28),Y28)+IF(F74=CONCATENATE(P30,":",S30),Y30)+IF(F74=CONCATENATE(P32,":",S32),Y32)+IF(F74=CONCATENATE(P34,":",S34),Y34)+IF(F74=CONCATENATE(P36,":",S36),Y36)+IF(F74=CONCATENATE(P36,":",S36),Y36)</f>
        <v>0</v>
      </c>
      <c r="H74" s="36"/>
    </row>
    <row r="75" spans="2:8" ht="15" x14ac:dyDescent="0.3">
      <c r="B75" s="34"/>
      <c r="C75" s="35"/>
      <c r="D75" s="35"/>
      <c r="E75" s="35"/>
      <c r="F75" s="41" t="s">
        <v>264</v>
      </c>
      <c r="G75" s="75">
        <f>IF(F75=CONCATENATE(P14,":",S14),Y14)+IF(F75=CONCATENATE(P16,":",S16),Y16)+IF(F75=CONCATENATE(P18,":",S18),Y18)+IF(F75=CONCATENATE(P20,":",S20),Y20)+IF(F75=CONCATENATE(P22,":",S22),Y22)+IF(F75=CONCATENATE(P24,":",S24),Y24)+IF(F75=CONCATENATE(P26,":",S26),Y26)+IF(F75=CONCATENATE(P28,":",S28),Y28)+IF(F75=CONCATENATE(P30,":",S30),Y30)+IF(F75=CONCATENATE(P32,":",S32),Y32)+IF(F75=CONCATENATE(P34,":",S34),Y34)+IF(F75=CONCATENATE(P36,":",S36),Y36)+IF(F75=CONCATENATE(P36,":",S36),Y36)</f>
        <v>0</v>
      </c>
      <c r="H75" s="36"/>
    </row>
    <row r="76" spans="2:8" ht="15" x14ac:dyDescent="0.3">
      <c r="B76" s="34"/>
      <c r="C76" s="35"/>
      <c r="D76" s="35"/>
      <c r="E76" s="35"/>
      <c r="F76" s="41" t="s">
        <v>265</v>
      </c>
      <c r="G76" s="75">
        <f>IF(F76=CONCATENATE(P14,":",S14),Y14)+IF(F76=CONCATENATE(P16,":",S16),Y16)+IF(F76=CONCATENATE(P18,":",S18),Y18)+IF(F76=CONCATENATE(P20,":",S20),Y20)+IF(F76=CONCATENATE(P22,":",S22),Y22)+IF(F76=CONCATENATE(P24,":",S24),Y24)+IF(F76=CONCATENATE(P26,":",S26),Y26)+IF(F76=CONCATENATE(P28,":",S28),Y28)+IF(F76=CONCATENATE(P30,":",S30),Y30)+IF(F76=CONCATENATE(P32,":",S32),Y32)+IF(F76=CONCATENATE(P34,":",S34),Y34)+IF(F76=CONCATENATE(P36,":",S36),Y36)+IF(F76=CONCATENATE(P36,":",S36),Y36)</f>
        <v>0</v>
      </c>
      <c r="H76" s="36"/>
    </row>
    <row r="77" spans="2:8" ht="15" x14ac:dyDescent="0.3">
      <c r="B77" s="34"/>
      <c r="C77" s="35"/>
      <c r="D77" s="35"/>
      <c r="E77" s="35"/>
      <c r="F77" s="41" t="s">
        <v>266</v>
      </c>
      <c r="G77" s="75">
        <f>IF(F77=CONCATENATE(P14,":",S14),Y14)+IF(F77=CONCATENATE(P16,":",S16),Y16)+IF(F77=CONCATENATE(P18,":",S18),Y18)+IF(F77=CONCATENATE(P20,":",S20),Y20)+IF(F77=CONCATENATE(P22,":",S22),Y22)+IF(F77=CONCATENATE(P24,":",S24),Y24)+IF(F77=CONCATENATE(P26,":",S26),Y26)+IF(F77=CONCATENATE(P28,":",S28),Y28)+IF(F77=CONCATENATE(P30,":",S30),Y30)+IF(F77=CONCATENATE(P32,":",S32),Y32)+IF(F77=CONCATENATE(P34,":",S34),Y34)+IF(F77=CONCATENATE(P36,":",S36),Y36)+IF(F77=CONCATENATE(P36,":",S36),Y36)</f>
        <v>0</v>
      </c>
      <c r="H77" s="36"/>
    </row>
    <row r="78" spans="2:8" ht="15" x14ac:dyDescent="0.3">
      <c r="B78" s="34"/>
      <c r="C78" s="35"/>
      <c r="D78" s="35"/>
      <c r="E78" s="35"/>
      <c r="F78" s="41" t="s">
        <v>267</v>
      </c>
      <c r="G78" s="75">
        <f>IF(F78=CONCATENATE(P14,":",S14),Y14)+IF(F78=CONCATENATE(P16,":",S16),Y16)+IF(F78=CONCATENATE(P18,":",S18),Y18)+IF(F78=CONCATENATE(P20,":",S20),Y20)+IF(F78=CONCATENATE(P22,":",S22),Y22)+IF(F78=CONCATENATE(P24,":",S24),Y24)+IF(F78=CONCATENATE(P26,":",S26),Y26)+IF(F78=CONCATENATE(P28,":",S28),Y28)+IF(F78=CONCATENATE(P30,":",S30),Y30)+IF(F78=CONCATENATE(P32,":",S32),Y32)+IF(F78=CONCATENATE(P34,":",S34),Y34)+IF(F78=CONCATENATE(P36,":",S36),Y36)+IF(F78=CONCATENATE(P36,":",S36),Y36)</f>
        <v>0</v>
      </c>
      <c r="H78" s="36"/>
    </row>
    <row r="79" spans="2:8" ht="15" x14ac:dyDescent="0.3">
      <c r="B79" s="34"/>
      <c r="C79" s="35"/>
      <c r="D79" s="35"/>
      <c r="E79" s="35"/>
      <c r="F79" s="41" t="s">
        <v>268</v>
      </c>
      <c r="G79" s="75">
        <f>IF(F79=CONCATENATE(P14,":",S14),Y14)+IF(F79=CONCATENATE(P16,":",S16),Y16)+IF(F79=CONCATENATE(P18,":",S18),Y18)+IF(F79=CONCATENATE(P20,":",S20),Y20)+IF(F79=CONCATENATE(P22,":",S22),Y22)+IF(F79=CONCATENATE(P24,":",S24),Y24)+IF(F79=CONCATENATE(P26,":",S26),Y26)+IF(F79=CONCATENATE(P28,":",S28),Y28)+IF(F79=CONCATENATE(P30,":",S30),Y30)+IF(F79=CONCATENATE(P32,":",S32),Y32)+IF(F79=CONCATENATE(P34,":",S34),Y34)+IF(F79=CONCATENATE(P36,":",S36),Y36)+IF(F79=CONCATENATE(P36,":",S36),Y36)</f>
        <v>0</v>
      </c>
      <c r="H79" s="36"/>
    </row>
    <row r="80" spans="2:8" ht="15" x14ac:dyDescent="0.3">
      <c r="B80" s="34"/>
      <c r="C80" s="35"/>
      <c r="D80" s="35"/>
      <c r="E80" s="35"/>
      <c r="F80" s="41" t="s">
        <v>269</v>
      </c>
      <c r="G80" s="75">
        <f>IF(F80=CONCATENATE(P14,":",S14),Y14)+IF(F80=CONCATENATE(P16,":",S16),Y16)+IF(F80=CONCATENATE(P18,":",S18),Y18)+IF(F80=CONCATENATE(P20,":",S20),Y20)+IF(F80=CONCATENATE(P22,":",S22),Y22)+IF(F80=CONCATENATE(P24,":",S24),Y24)+IF(F80=CONCATENATE(P26,":",S26),Y26)+IF(F80=CONCATENATE(P28,":",S28),Y28)+IF(F80=CONCATENATE(P30,":",S30),Y30)+IF(F80=CONCATENATE(P32,":",S32),Y32)+IF(F80=CONCATENATE(P34,":",S34),Y34)+IF(F80=CONCATENATE(P36,":",S36),Y36)+IF(F80=CONCATENATE(P36,":",S36),Y36)</f>
        <v>0</v>
      </c>
      <c r="H80" s="36"/>
    </row>
    <row r="81" spans="2:8" ht="15" x14ac:dyDescent="0.3">
      <c r="B81" s="34"/>
      <c r="C81" s="35"/>
      <c r="D81" s="35"/>
      <c r="E81" s="35"/>
      <c r="F81" s="41" t="s">
        <v>270</v>
      </c>
      <c r="G81" s="75">
        <f>IF(F81=CONCATENATE(P14,":",S14),Y14)+IF(F81=CONCATENATE(P16,":",S16),Y16)+IF(F81=CONCATENATE(P18,":",S18),Y18)+IF(F81=CONCATENATE(P20,":",S20),Y20)+IF(F81=CONCATENATE(P22,":",S22),Y22)+IF(F81=CONCATENATE(P24,":",S24),Y24)+IF(F81=CONCATENATE(P26,":",S26),Y26)+IF(F81=CONCATENATE(P28,":",S28),Y28)+IF(F81=CONCATENATE(P30,":",S30),Y30)+IF(F81=CONCATENATE(P32,":",S32),Y32)+IF(F81=CONCATENATE(P34,":",S34),Y34)+IF(F81=CONCATENATE(P36,":",S36),Y36)+IF(F81=CONCATENATE(P36,":",S36),Y36)</f>
        <v>0</v>
      </c>
      <c r="H81" s="36"/>
    </row>
    <row r="82" spans="2:8" ht="15" x14ac:dyDescent="0.3">
      <c r="B82" s="34"/>
      <c r="C82" s="35"/>
      <c r="D82" s="35"/>
      <c r="E82" s="35"/>
      <c r="F82" s="41" t="s">
        <v>271</v>
      </c>
      <c r="G82" s="75">
        <f>IF(F82=CONCATENATE(P14,":",S14),Y14)+IF(F82=CONCATENATE(P16,":",S16),Y16)+IF(F82=CONCATENATE(P18,":",S18),Y18)+IF(F82=CONCATENATE(P20,":",S20),Y20)+IF(F82=CONCATENATE(P22,":",S22),Y22)+IF(F82=CONCATENATE(P24,":",S24),Y24)+IF(F82=CONCATENATE(P26,":",S26),Y26)+IF(F82=CONCATENATE(P28,":",S28),Y28)+IF(F82=CONCATENATE(P30,":",S30),Y30)+IF(F82=CONCATENATE(P32,":",S32),Y32)+IF(F82=CONCATENATE(P34,":",S34),Y34)+IF(F82=CONCATENATE(P36,":",S36),Y36)+IF(F82=CONCATENATE(P36,":",S36),Y36)</f>
        <v>0</v>
      </c>
      <c r="H82" s="36"/>
    </row>
    <row r="83" spans="2:8" ht="15" x14ac:dyDescent="0.3">
      <c r="B83" s="34"/>
      <c r="C83" s="35"/>
      <c r="D83" s="35"/>
      <c r="E83" s="35"/>
      <c r="F83" s="41" t="s">
        <v>272</v>
      </c>
      <c r="G83" s="75">
        <f>IF(F83=CONCATENATE(P14,":",S14),Y14)+IF(F83=CONCATENATE(P16,":",S16),Y16)+IF(F83=CONCATENATE(P18,":",S18),Y18)+IF(F83=CONCATENATE(P20,":",S20),Y20)+IF(F83=CONCATENATE(P22,":",S22),Y22)+IF(F83=CONCATENATE(P24,":",S24),Y24)+IF(F83=CONCATENATE(P26,":",S26),Y26)+IF(F83=CONCATENATE(P28,":",S28),Y28)+IF(F83=CONCATENATE(P30,":",S30),Y30)+IF(F83=CONCATENATE(P32,":",S32),Y32)+IF(F83=CONCATENATE(P34,":",S34),Y34)+IF(F83=CONCATENATE(P36,":",S36),Y36)+IF(F83=CONCATENATE(P36,":",S36),Y36)</f>
        <v>0</v>
      </c>
      <c r="H83" s="36"/>
    </row>
    <row r="84" spans="2:8" ht="15" x14ac:dyDescent="0.3">
      <c r="B84" s="34"/>
      <c r="C84" s="35"/>
      <c r="D84" s="35"/>
      <c r="E84" s="35"/>
      <c r="F84" s="41" t="s">
        <v>273</v>
      </c>
      <c r="G84" s="75">
        <f>IF(F84=CONCATENATE(P14,":",S14),Y14)+IF(F84=CONCATENATE(P16,":",S16),Y16)+IF(F84=CONCATENATE(P18,":",S18),Y18)+IF(F84=CONCATENATE(P20,":",S20),Y20)+IF(F84=CONCATENATE(P22,":",S22),Y22)+IF(F84=CONCATENATE(P24,":",S24),Y24)+IF(F84=CONCATENATE(P26,":",S26),Y26)+IF(F84=CONCATENATE(P28,":",S28),Y28)+IF(F84=CONCATENATE(P30,":",S30),Y30)+IF(F84=CONCATENATE(P32,":",S32),Y32)+IF(F84=CONCATENATE(P34,":",S34),Y34)+IF(F84=CONCATENATE(P36,":",S36),Y36)+IF(F84=CONCATENATE(P36,":",S36),Y36)</f>
        <v>0</v>
      </c>
      <c r="H84" s="36"/>
    </row>
    <row r="85" spans="2:8" ht="15" x14ac:dyDescent="0.3">
      <c r="B85" s="34"/>
      <c r="C85" s="35"/>
      <c r="D85" s="35"/>
      <c r="E85" s="35"/>
      <c r="F85" s="41" t="s">
        <v>274</v>
      </c>
      <c r="G85" s="75">
        <f>IF(F85=CONCATENATE(P14,":",S14),Y14)+IF(F85=CONCATENATE(P16,":",S16),Y16)+IF(F85=CONCATENATE(P18,":",S18),Y18)+IF(F85=CONCATENATE(P20,":",S20),Y20)+IF(F85=CONCATENATE(P22,":",S22),Y22)+IF(F85=CONCATENATE(P24,":",S24),Y24)+IF(F85=CONCATENATE(P26,":",S26),Y26)+IF(F85=CONCATENATE(P28,":",S28),Y28)+IF(F85=CONCATENATE(P30,":",S30),Y30)+IF(F85=CONCATENATE(P32,":",S32),Y32)+IF(F85=CONCATENATE(P34,":",S34),Y34)+IF(F85=CONCATENATE(P36,":",S36),Y36)+IF(F85=CONCATENATE(P36,":",S36),Y36)</f>
        <v>0</v>
      </c>
      <c r="H85" s="36"/>
    </row>
    <row r="86" spans="2:8" ht="15" x14ac:dyDescent="0.3">
      <c r="B86" s="37"/>
      <c r="C86" s="38"/>
      <c r="D86" s="38"/>
      <c r="E86" s="38"/>
      <c r="F86" s="42" t="s">
        <v>275</v>
      </c>
      <c r="G86" s="76">
        <f>IF(F86=CONCATENATE(P14,":",S14),Y14)+IF(F86=CONCATENATE(P16,":",S16),Y16)+IF(F86=CONCATENATE(P18,":",S18),Y18)+IF(F86=CONCATENATE(P20,":",S20),Y20)+IF(F86=CONCATENATE(P22,":",S22),Y22)+IF(F86=CONCATENATE(P24,":",S24),Y24)+IF(F86=CONCATENATE(P26,":",S26),Y26)+IF(F86=CONCATENATE(P28,":",S28),Y28)+IF(F86=CONCATENATE(P30,":",S30),Y30)+IF(F86=CONCATENATE(P32,":",S32),Y32)+IF(F86=CONCATENATE(P34,":",S34),Y34)+IF(F86=CONCATENATE(P36,":",S36),Y36)+IF(F86=CONCATENATE(P36,":",S36),Y36)</f>
        <v>0</v>
      </c>
      <c r="H86" s="39"/>
    </row>
    <row r="89" spans="2:8" s="64" customFormat="1" ht="15" x14ac:dyDescent="0.3">
      <c r="B89" s="65"/>
      <c r="C89" s="66"/>
      <c r="D89" s="66"/>
      <c r="E89" s="66"/>
      <c r="F89" s="78" t="s">
        <v>291</v>
      </c>
      <c r="G89" s="74">
        <f>IF( F89=CONCATENATE(G14,":",J14),Y14)+IF( F89=CONCATENATE(G16,":",J16),Y16)+IF( F89=CONCATENATE(G18,":",J18),Y18)+IF( F89=CONCATENATE(G20,":",J20),Y20)+IF( F89=CONCATENATE(G22,":",J22),Y22)+IF( F89=CONCATENATE(G24,":",J24),Y24)+IF( F89=CONCATENATE(G26,":",J26),Y26)+IF( F89=CONCATENATE(G28,":",J28),Y28)+IF( F89=CONCATENATE(P30,":",S30),Y30)+IF( F89=CONCATENATE(P32,":",S32),Y32)+IF( F89=CONCATENATE(P34,":",S34),Y34)+IF( F89=CONCATENATE(P36,":",S36),Y36)</f>
        <v>0</v>
      </c>
      <c r="H89" s="67"/>
    </row>
    <row r="90" spans="2:8" s="64" customFormat="1" ht="15" x14ac:dyDescent="0.3">
      <c r="B90" s="68"/>
      <c r="C90" s="69"/>
      <c r="D90" s="69"/>
      <c r="E90" s="69"/>
      <c r="F90" s="77" t="s">
        <v>221</v>
      </c>
      <c r="G90" s="79">
        <f>IF( F90=CONCATENATE(G14,":",J14),Y14)+IF( F90=CONCATENATE(G16,":",J16),Y16)+IF( F90=CONCATENATE(G18,":",J18),Y18)+IF( F90=CONCATENATE(G20,":",J20),Y20)+IF( F90=CONCATENATE(G22,":",J22),Y22)+IF( F90=CONCATENATE(G24,":",J24),Y24)+IF( F90=CONCATENATE(G26,":",J26),Y26)+IF( F90=CONCATENATE(G28,":",J28),Y28)+IF( F90=CONCATENATE(P30,":",S30),Y30)+IF( F90=CONCATENATE(P32,":",S32),Y32)+IF( F90=CONCATENATE(P34,":",S34),Y34)+IF( F90=CONCATENATE(P36,":",S36),Y36)</f>
        <v>0</v>
      </c>
      <c r="H90" s="70"/>
    </row>
    <row r="91" spans="2:8" s="64" customFormat="1" ht="15" x14ac:dyDescent="0.3">
      <c r="B91" s="68"/>
      <c r="C91" s="69"/>
      <c r="D91" s="69"/>
      <c r="E91" s="69"/>
      <c r="F91" s="77" t="s">
        <v>281</v>
      </c>
      <c r="G91" s="79">
        <f>IF( F91=CONCATENATE(G14,":",J14),Y14)+IF( F91=CONCATENATE(G16,":",J16),Y16)+IF( F91=CONCATENATE(G18,":",J18),Y18)+IF( F91=CONCATENATE(G20,":",J20),Y20)+IF( F91=CONCATENATE(G22,":",J22),Y22)+IF( F91=CONCATENATE(G24,":",J24),Y24)+IF( F91=CONCATENATE(G26,":",J26),Y26)+IF( F91=CONCATENATE(G28,":",J28),Y28)+IF( F91=CONCATENATE(P30,":",S30),Y30)+IF( F91=CONCATENATE(P32,":",S32),Y32)+IF( F91=CONCATENATE(P34,":",S34),Y34)+IF( F91=CONCATENATE(P36,":",S36),Y36)</f>
        <v>0</v>
      </c>
      <c r="H91" s="70"/>
    </row>
    <row r="92" spans="2:8" s="64" customFormat="1" ht="15" x14ac:dyDescent="0.3">
      <c r="B92" s="68"/>
      <c r="C92" s="69"/>
      <c r="D92" s="69"/>
      <c r="E92" s="69"/>
      <c r="F92" s="77" t="s">
        <v>222</v>
      </c>
      <c r="G92" s="79">
        <f>IF( F92=CONCATENATE(G14,":",J14),Y14)+IF( F92=CONCATENATE(G16,":",J16),Y16)+IF( F92=CONCATENATE(G18,":",J18),Y18)+IF( F92=CONCATENATE(G20,":",J20),Y20)+IF( F92=CONCATENATE(G22,":",J22),Y22)+IF( F92=CONCATENATE(G24,":",J24),Y24)+IF( F92=CONCATENATE(G26,":",J26),Y26)+IF( F92=CONCATENATE(G28,":",J28),Y28)+IF( F92=CONCATENATE(P30,":",S30),Y30)+IF( F92=CONCATENATE(P32,":",S32),Y32)+IF( F92=CONCATENATE(P34,":",S34),Y34)+IF( F92=CONCATENATE(P36,":",S36),Y36)</f>
        <v>0</v>
      </c>
      <c r="H92" s="70"/>
    </row>
    <row r="93" spans="2:8" s="64" customFormat="1" ht="15" x14ac:dyDescent="0.3">
      <c r="B93" s="68"/>
      <c r="C93" s="69"/>
      <c r="D93" s="69"/>
      <c r="E93" s="69"/>
      <c r="F93" s="77" t="s">
        <v>223</v>
      </c>
      <c r="G93" s="79">
        <f>IF( F93=CONCATENATE(G14,":",J14),Y14)+IF( F93=CONCATENATE(G16,":",J16),Y16)+IF( F93=CONCATENATE(G18,":",J18),Y18)+IF( F93=CONCATENATE(G20,":",J20),Y20)+IF( F93=CONCATENATE(G22,":",J22),Y22)+IF( F93=CONCATENATE(G24,":",J24),Y24)+IF( F93=CONCATENATE(G26,":",J26),Y26)+IF( F93=CONCATENATE(G28,":",J28),Y28)+IF( F93=CONCATENATE(P30,":",S30),Y30)+IF( F93=CONCATENATE(P32,":",S32),Y32)+IF( F93=CONCATENATE(P34,":",S34),Y34)+IF( F93=CONCATENATE(P36,":",S36),Y36)</f>
        <v>0</v>
      </c>
      <c r="H93" s="70"/>
    </row>
    <row r="94" spans="2:8" s="64" customFormat="1" ht="15" x14ac:dyDescent="0.3">
      <c r="B94" s="68"/>
      <c r="C94" s="69"/>
      <c r="D94" s="69"/>
      <c r="E94" s="69"/>
      <c r="F94" s="77" t="s">
        <v>224</v>
      </c>
      <c r="G94" s="79">
        <f>IF( F94=CONCATENATE(G14,":",J14),Y14)+IF( F94=CONCATENATE(G16,":",J16),Y16)+IF( F94=CONCATENATE(G18,":",J18),Y18)+IF( F94=CONCATENATE(G20,":",J20),Y20)+IF( F94=CONCATENATE(G22,":",J22),Y22)+IF( F94=CONCATENATE(G24,":",J24),Y24)+IF( F94=CONCATENATE(G26,":",J26),Y26)+IF( F94=CONCATENATE(G28,":",J28),Y28)+IF( F94=CONCATENATE(P30,":",S30),Y30)+IF( F94=CONCATENATE(P32,":",S32),Y32)+IF( F94=CONCATENATE(P34,":",S34),Y34)+IF( F94=CONCATENATE(P36,":",S36),Y36)</f>
        <v>0</v>
      </c>
      <c r="H94" s="70"/>
    </row>
    <row r="95" spans="2:8" s="64" customFormat="1" ht="15" x14ac:dyDescent="0.3">
      <c r="B95" s="68"/>
      <c r="C95" s="69"/>
      <c r="D95" s="69"/>
      <c r="E95" s="69"/>
      <c r="F95" s="77" t="s">
        <v>225</v>
      </c>
      <c r="G95" s="79">
        <f>IF( F95=CONCATENATE(G14,":",J14),Y14)+IF( F95=CONCATENATE(G16,":",J16),Y16)+IF( F95=CONCATENATE(G18,":",J18),Y18)+IF( F95=CONCATENATE(G20,":",J20),Y20)+IF( F95=CONCATENATE(G22,":",J22),Y22)+IF( F95=CONCATENATE(G24,":",J24),Y24)+IF( F95=CONCATENATE(G26,":",J26),Y26)+IF( F95=CONCATENATE(G28,":",J28),Y28)+IF( F95=CONCATENATE(P30,":",S30),Y30)+IF( F95=CONCATENATE(P32,":",S32),Y32)+IF( F95=CONCATENATE(P34,":",S34),Y34)+IF( F95=CONCATENATE(P36,":",S36),Y36)</f>
        <v>0</v>
      </c>
      <c r="H95" s="70"/>
    </row>
    <row r="96" spans="2:8" s="64" customFormat="1" ht="15" x14ac:dyDescent="0.3">
      <c r="B96" s="68"/>
      <c r="C96" s="69"/>
      <c r="D96" s="69"/>
      <c r="E96" s="69"/>
      <c r="F96" s="77" t="s">
        <v>226</v>
      </c>
      <c r="G96" s="79">
        <f>IF( F96=CONCATENATE(G14,":",J14),Y14)+IF( F96=CONCATENATE(G16,":",J16),Y16)+IF( F96=CONCATENATE(G18,":",J18),Y18)+IF( F96=CONCATENATE(G20,":",J20),Y20)+IF( F96=CONCATENATE(G22,":",J22),Y22)+IF( F96=CONCATENATE(G24,":",J24),Y24)+IF( F96=CONCATENATE(G26,":",J26),Y26)+IF( F96=CONCATENATE(G28,":",J28),Y28)+IF( F96=CONCATENATE(P30,":",S30),Y30)+IF( F96=CONCATENATE(P32,":",S32),Y32)+IF( F96=CONCATENATE(P34,":",S34),Y34)+IF( F96=CONCATENATE(P36,":",S36),Y36)</f>
        <v>0</v>
      </c>
      <c r="H96" s="70"/>
    </row>
    <row r="97" spans="2:8" s="64" customFormat="1" ht="15" x14ac:dyDescent="0.3">
      <c r="B97" s="68"/>
      <c r="C97" s="69"/>
      <c r="D97" s="69"/>
      <c r="E97" s="69"/>
      <c r="F97" s="77" t="s">
        <v>309</v>
      </c>
      <c r="G97" s="79">
        <f>IF( F97=CONCATENATE(G14,":",J14),Y14)+IF( F97=CONCATENATE(G16,":",J16),Y16)+IF( F97=CONCATENATE(G18,":",J18),Y18)+IF( F97=CONCATENATE(G20,":",J20),Y20)+IF( F97=CONCATENATE(G22,":",J22),Y22)+IF( F97=CONCATENATE(G24,":",J24),Y24)+IF( F97=CONCATENATE(G26,":",J26),Y26)+IF( F97=CONCATENATE(G28,":",J28),Y28)+IF( F97=CONCATENATE(P30,":",S30),Y30)+IF( F97=CONCATENATE(P32,":",S32),Y32)+IF( F97=CONCATENATE(P34,":",S34),Y34)+IF( F97=CONCATENATE(P36,":",S36),Y36)</f>
        <v>0</v>
      </c>
      <c r="H97" s="70"/>
    </row>
    <row r="98" spans="2:8" s="64" customFormat="1" ht="15" x14ac:dyDescent="0.3">
      <c r="B98" s="68"/>
      <c r="C98" s="69"/>
      <c r="D98" s="69"/>
      <c r="E98" s="69"/>
      <c r="F98" s="77" t="s">
        <v>307</v>
      </c>
      <c r="G98" s="79">
        <f>IF( F98=CONCATENATE(G14,":",J14),Y14)+IF( F98=CONCATENATE(G16,":",J16),Y16)+IF( F98=CONCATENATE(G18,":",J18),Y18)+IF( F98=CONCATENATE(G20,":",J20),Y20)+IF( F98=CONCATENATE(G22,":",J22),Y22)+IF( F98=CONCATENATE(G24,":",J24),Y24)+IF( F98=CONCATENATE(G26,":",J26),Y26)+IF( F98=CONCATENATE(G28,":",J28),Y28)+IF( F98=CONCATENATE(P30,":",S30),Y30)+IF( F98=CONCATENATE(P32,":",S32),Y32)+IF( F98=CONCATENATE(P34,":",S34),Y34)+IF( F98=CONCATENATE(P36,":",S36),Y36)</f>
        <v>0</v>
      </c>
      <c r="H98" s="70"/>
    </row>
    <row r="99" spans="2:8" s="64" customFormat="1" ht="15" x14ac:dyDescent="0.3">
      <c r="B99" s="68"/>
      <c r="C99" s="69"/>
      <c r="D99" s="69"/>
      <c r="E99" s="69"/>
      <c r="F99" s="77" t="s">
        <v>325</v>
      </c>
      <c r="G99" s="79">
        <f>IF( F99=CONCATENATE(G14,":",J14),Y14)+IF( F99=CONCATENATE(G16,":",J16),Y16)+IF( F99=CONCATENATE(G18,":",J18),Y18)+IF( F99=CONCATENATE(G20,":",J20),Y20)+IF( F99=CONCATENATE(G22,":",J22),Y22)+IF( F99=CONCATENATE(G24,":",J24),Y24)+IF( F99=CONCATENATE(G26,":",J26),Y26)+IF( F99=CONCATENATE(G28,":",J28),Y28)+IF( F99=CONCATENATE(P30,":",S30),Y30)+IF( F99=CONCATENATE(P32,":",S32),Y32)+IF( F99=CONCATENATE(P34,":",S34),Y34)+IF( F99=CONCATENATE(P36,":",S36),Y36)</f>
        <v>0</v>
      </c>
      <c r="H99" s="70"/>
    </row>
    <row r="100" spans="2:8" s="64" customFormat="1" ht="15" x14ac:dyDescent="0.3">
      <c r="B100" s="68"/>
      <c r="C100" s="69"/>
      <c r="D100" s="69"/>
      <c r="E100" s="69"/>
      <c r="F100" s="77" t="s">
        <v>227</v>
      </c>
      <c r="G100" s="79">
        <f>IF(F100=CONCATENATE(G14,":",J14),Y14)+IF(F100=CONCATENATE(G16,":",J16),Y16)+IF(F100=CONCATENATE(G18,":",J18),Y18)+IF(F100=CONCATENATE(G20,":",J20),Y20)+IF(F100=CONCATENATE(G22,":",J22),Y22)+IF(F100=CONCATENATE(G24,":",J24),Y24)+IF(F100=CONCATENATE(G26,":",J26),Y26)+IF(F100=CONCATENATE(G28,":",J28),Y28)+IF(F100=CONCATENATE(P30,":",S30),Y30)+IF(F100=CONCATENATE(P32,":",S32),Y32)+IF(F100=CONCATENATE(P34,":",S34),Y34)+IF(F100=CONCATENATE(P36,":",S36),Y36)</f>
        <v>0</v>
      </c>
      <c r="H100" s="70"/>
    </row>
    <row r="101" spans="2:8" s="64" customFormat="1" ht="15" x14ac:dyDescent="0.3">
      <c r="B101" s="68"/>
      <c r="C101" s="69"/>
      <c r="D101" s="69"/>
      <c r="E101" s="69"/>
      <c r="F101" s="77" t="s">
        <v>228</v>
      </c>
      <c r="G101" s="79">
        <f>IF(F101=CONCATENATE(G14,":",J14),Y14)+IF(F101=CONCATENATE(G16,":",J16),Y16)+IF(F101=CONCATENATE(G18,":",J18),Y18)+IF(F101=CONCATENATE(G20,":",J20),Y20)+IF(F101=CONCATENATE(G22,":",J22),Y22)+IF(F101=CONCATENATE(G24,":",J24),Y24)+IF(F101=CONCATENATE(G26,":",J26),Y26)+IF(F101=CONCATENATE(G28,":",J28),Y28)+IF(F101=CONCATENATE(P30,":",S30),Y30)+IF(F101=CONCATENATE(P32,":",S32),Y32)+IF(F101=CONCATENATE(P34,":",S34),Y34)+IF(F101=CONCATENATE(P36,":",S36),Y36)</f>
        <v>0</v>
      </c>
      <c r="H101" s="70"/>
    </row>
    <row r="102" spans="2:8" s="64" customFormat="1" ht="15" x14ac:dyDescent="0.3">
      <c r="B102" s="68"/>
      <c r="C102" s="69"/>
      <c r="D102" s="69"/>
      <c r="E102" s="69"/>
      <c r="F102" s="77" t="s">
        <v>229</v>
      </c>
      <c r="G102" s="79">
        <f>IF(F102=CONCATENATE(G14,":",J14),Y14)+IF(F102=CONCATENATE(G16,":",J16),Y16)+IF(F102=CONCATENATE(G18,":",J18),Y18)+IF(F102=CONCATENATE(G20,":",J20),Y20)+IF(F102=CONCATENATE(G22,":",J22),Y22)+IF(F102=CONCATENATE(G24,":",J24),Y24)+IF(F102=CONCATENATE(G26,":",J26),Y26)+IF(F102=CONCATENATE(G28,":",J28),Y28)+IF(F102=CONCATENATE(P30,":",S30),Y30)+IF(F102=CONCATENATE(P32,":",S32),Y32)+IF(F102=CONCATENATE(P34,":",S34),Y34)+IF(F102=CONCATENATE(P36,":",S36),Y36)</f>
        <v>0</v>
      </c>
      <c r="H102" s="70"/>
    </row>
    <row r="103" spans="2:8" s="64" customFormat="1" ht="15" x14ac:dyDescent="0.3">
      <c r="B103" s="68"/>
      <c r="C103" s="69"/>
      <c r="D103" s="69"/>
      <c r="E103" s="69"/>
      <c r="F103" s="77" t="s">
        <v>230</v>
      </c>
      <c r="G103" s="79">
        <f>IF(F103=CONCATENATE(G14,":",J14),Y14)+IF(F103=CONCATENATE(G16,":",J16),Y16)+IF(F103=CONCATENATE(G18,":",J18),Y18)+IF(F103=CONCATENATE(G20,":",J20),Y20)+IF(F103=CONCATENATE(G22,":",J22),Y22)+IF(F103=CONCATENATE(G24,":",J24),Y24)+IF(F103=CONCATENATE(G26,":",J26),Y26)+IF(F103=CONCATENATE(G28,":",J28),Y28)+IF(F103=CONCATENATE(P30,":",S30),Y30)+IF(F103=CONCATENATE(P32,":",S32),Y32)+IF(F103=CONCATENATE(P34,":",S34),Y34)+IF(F103=CONCATENATE(P36,":",S36),Y36)</f>
        <v>0</v>
      </c>
      <c r="H103" s="70"/>
    </row>
    <row r="104" spans="2:8" s="64" customFormat="1" ht="15" x14ac:dyDescent="0.3">
      <c r="B104" s="68"/>
      <c r="C104" s="69"/>
      <c r="D104" s="69"/>
      <c r="E104" s="69"/>
      <c r="F104" s="77" t="s">
        <v>231</v>
      </c>
      <c r="G104" s="79">
        <f>IF(F104=CONCATENATE(G14,":",J14),Y14)+IF(F104=CONCATENATE(G16,":",J16),Y16)+IF(F104=CONCATENATE(G18,":",J18),Y18)+IF(F104=CONCATENATE(G20,":",J20),Y20)+IF(F104=CONCATENATE(G22,":",J22),Y22)+IF(F104=CONCATENATE(G24,":",J24),Y24)+IF(F104=CONCATENATE(G26,":",J26),Y26)+IF(F104=CONCATENATE(G28,":",J28),Y28)+IF(F104=CONCATENATE(P30,":",S30),Y30)+IF(F104=CONCATENATE(P32,":",S32),Y32)+IF(F104=CONCATENATE(P34,":",S34),Y34)+IF(F104=CONCATENATE(P36,":",S36),Y36)</f>
        <v>0</v>
      </c>
      <c r="H104" s="70"/>
    </row>
    <row r="105" spans="2:8" s="64" customFormat="1" ht="15" x14ac:dyDescent="0.3">
      <c r="B105" s="68"/>
      <c r="C105" s="69"/>
      <c r="D105" s="69"/>
      <c r="E105" s="69"/>
      <c r="F105" s="77" t="s">
        <v>232</v>
      </c>
      <c r="G105" s="79">
        <f>IF(F105=CONCATENATE(G14,":",J14),Y14)+IF(F105=CONCATENATE(G16,":",J16),Y16)+IF(F105=CONCATENATE(G18,":",J18),Y18)+IF(F105=CONCATENATE(G20,":",J20),Y20)+IF(F105=CONCATENATE(G22,":",J22),Y22)+IF(F105=CONCATENATE(G24,":",J24),Y24)+IF(F105=CONCATENATE(G26,":",J26),Y26)+IF(F105=CONCATENATE(G28,":",J28),Y28)+IF(F105=CONCATENATE(P30,":",S30),Y30)+IF(F105=CONCATENATE(P32,":",S32),Y32)+IF(F105=CONCATENATE(P34,":",S34),Y34)+IF(F105=CONCATENATE(P36,":",S36),Y36)</f>
        <v>0</v>
      </c>
      <c r="H105" s="70"/>
    </row>
    <row r="106" spans="2:8" s="64" customFormat="1" ht="15" x14ac:dyDescent="0.3">
      <c r="B106" s="68"/>
      <c r="C106" s="69"/>
      <c r="D106" s="69"/>
      <c r="E106" s="69"/>
      <c r="F106" s="77" t="s">
        <v>300</v>
      </c>
      <c r="G106" s="79">
        <f>IF(F106=CONCATENATE(G14,":",J14),Y14)+IF(F106=CONCATENATE(G16,":",J16),Y16)+IF(F106=CONCATENATE(G18,":",J18),Y18)+IF(F106=CONCATENATE(G20,":",J20),Y20)+IF(F106=CONCATENATE(G22,":",J22),Y22)+IF(F106=CONCATENATE(G24,":",J24),Y24)+IF(F106=CONCATENATE(G26,":",J26),Y26)+IF(F106=CONCATENATE(G28,":",J28),Y28)+IF(F106=CONCATENATE(P30,":",S30),Y30)+IF(F106=CONCATENATE(P32,":",S32),Y32)+IF(F106=CONCATENATE(P34,":",S34),Y34)+IF(F106=CONCATENATE(P36,":",S36),Y36)</f>
        <v>0</v>
      </c>
      <c r="H106" s="70"/>
    </row>
    <row r="107" spans="2:8" s="64" customFormat="1" ht="15" x14ac:dyDescent="0.3">
      <c r="B107" s="68"/>
      <c r="C107" s="69"/>
      <c r="D107" s="69"/>
      <c r="E107" s="69"/>
      <c r="F107" s="77" t="s">
        <v>286</v>
      </c>
      <c r="G107" s="79">
        <f>IF(F107=CONCATENATE(G14,":",J14),Y14)+IF(F107=CONCATENATE(G16,":",J16),Y16)+IF(F107=CONCATENATE(G18,":",J18),Y18)+IF(F107=CONCATENATE(G20,":",J20),Y20)+IF(F107=CONCATENATE(G22,":",J22),Y22)+IF(F107=CONCATENATE(G24,":",J24),Y24)+IF(F107=CONCATENATE(G26,":",J26),Y26)+IF(F107=CONCATENATE(G28,":",J28),Y28)+IF(F107=CONCATENATE(P30,":",S30),Y30)+IF(F107=CONCATENATE(P32,":",S32),Y32)+IF(F107=CONCATENATE(P34,":",S34),Y34)+IF(F107=CONCATENATE(P36,":",S36),Y36)</f>
        <v>0</v>
      </c>
      <c r="H107" s="70"/>
    </row>
    <row r="108" spans="2:8" s="64" customFormat="1" ht="15" x14ac:dyDescent="0.3">
      <c r="B108" s="68"/>
      <c r="C108" s="69"/>
      <c r="D108" s="69"/>
      <c r="E108" s="69"/>
      <c r="F108" s="77" t="s">
        <v>233</v>
      </c>
      <c r="G108" s="79">
        <f>IF(F108=CONCATENATE(G14,":",J14),Y14)+IF(F108=CONCATENATE(G16,":",J16),Y16)+IF(F108=CONCATENATE(G18,":",J18),Y18)+IF(F108=CONCATENATE(G20,":",J20),Y20)+IF(F108=CONCATENATE(G22,":",J22),Y22)+IF(F108=CONCATENATE(G24,":",J24),Y24)+IF(F108=CONCATENATE(G26,":",J26),Y26)+IF(F108=CONCATENATE(G28,":",J28),Y28)+IF(F108=CONCATENATE(P30,":",S30),Y30)+IF(F108=CONCATENATE(P32,":",S32),Y32)+IF(F108=CONCATENATE(P34,":",S34),Y34)+IF(F108=CONCATENATE(P36,":",S36),Y36)</f>
        <v>0</v>
      </c>
      <c r="H108" s="70"/>
    </row>
    <row r="109" spans="2:8" s="64" customFormat="1" ht="15" x14ac:dyDescent="0.3">
      <c r="B109" s="68"/>
      <c r="C109" s="69"/>
      <c r="D109" s="69"/>
      <c r="E109" s="69"/>
      <c r="F109" s="77" t="s">
        <v>292</v>
      </c>
      <c r="G109" s="79">
        <f>IF(F109=CONCATENATE(G14,":",J14),Y14)+IF(F109=CONCATENATE(G16,":",J16),Y16)+IF(F109=CONCATENATE(G18,":",J18),Y18)+IF(F109=CONCATENATE(G20,":",J20),Y20)+IF(F109=CONCATENATE(G22,":",J22),Y22)+IF(F109=CONCATENATE(G24,":",J24),Y24)+IF(F109=CONCATENATE(G26,":",J26),Y26)+IF(F109=CONCATENATE(G28,":",J28),Y28)+IF(F109=CONCATENATE(P30,":",S30),Y30)+IF(F109=CONCATENATE(P32,":",S32),Y32)+IF(F109=CONCATENATE(P34,":",S34),Y34)+IF(F109=CONCATENATE(P36,":",S36),Y36)</f>
        <v>0</v>
      </c>
      <c r="H109" s="70"/>
    </row>
    <row r="110" spans="2:8" s="64" customFormat="1" ht="15" x14ac:dyDescent="0.3">
      <c r="B110" s="68"/>
      <c r="C110" s="69"/>
      <c r="D110" s="69"/>
      <c r="E110" s="69"/>
      <c r="F110" s="77" t="s">
        <v>234</v>
      </c>
      <c r="G110" s="79">
        <f>IF(F110=CONCATENATE(G14,":",J14),Y14)+IF(F110=CONCATENATE(G16,":",J16),Y16)+IF(F110=CONCATENATE(G18,":",J18),Y18)+IF(F110=CONCATENATE(G20,":",J20),Y20)+IF(F110=CONCATENATE(G22,":",J22),Y22)+IF(F110=CONCATENATE(G24,":",J24),Y24)+IF(F110=CONCATENATE(G26,":",J26),Y26)+IF(F110=CONCATENATE(G28,":",J28),Y28)+IF(F110=CONCATENATE(P30,":",S30),Y30)+IF(F110=CONCATENATE(P32,":",S32),Y32)+IF(F110=CONCATENATE(P34,":",S34),Y34)+IF(F110=CONCATENATE(P36,":",S36),Y36)</f>
        <v>0</v>
      </c>
      <c r="H110" s="70"/>
    </row>
    <row r="111" spans="2:8" s="64" customFormat="1" ht="15" x14ac:dyDescent="0.3">
      <c r="B111" s="68"/>
      <c r="C111" s="69"/>
      <c r="D111" s="69"/>
      <c r="E111" s="69"/>
      <c r="F111" s="77" t="s">
        <v>235</v>
      </c>
      <c r="G111" s="79">
        <f>IF(F111=CONCATENATE(G14,":",J14),Y14)+IF(F111=CONCATENATE(G16,":",J16),Y16)+IF(F111=CONCATENATE(G18,":",J18),Y18)+IF(F111=CONCATENATE(G20,":",J20),Y20)+IF(F111=CONCATENATE(G22,":",J22),Y22)+IF(F111=CONCATENATE(G24,":",J24),Y24)+IF(F111=CONCATENATE(G26,":",J26),Y26)+IF(F111=CONCATENATE(G28,":",J28),Y28)+IF(F111=CONCATENATE(P30,":",S30),Y30)+IF(F111=CONCATENATE(P32,":",S32),Y32)+IF(F111=CONCATENATE(P34,":",S34),Y34)+IF(F111=CONCATENATE(P36,":",S36),Y36)</f>
        <v>0</v>
      </c>
      <c r="H111" s="70"/>
    </row>
    <row r="112" spans="2:8" s="64" customFormat="1" ht="15" x14ac:dyDescent="0.3">
      <c r="B112" s="68"/>
      <c r="C112" s="69"/>
      <c r="D112" s="69"/>
      <c r="E112" s="69"/>
      <c r="F112" s="77" t="s">
        <v>236</v>
      </c>
      <c r="G112" s="79">
        <f>IF(F112=CONCATENATE(G14,":",J14),Y14)+IF(F112=CONCATENATE(G16,":",J16),Y16)+IF(F112=CONCATENATE(G18,":",J18),Y18)+IF(F112=CONCATENATE(G20,":",J20),Y20)+IF(F112=CONCATENATE(G22,":",J22),Y22)+IF(F112=CONCATENATE(G24,":",J24),Y24)+IF(F112=CONCATENATE(G26,":",J26),Y26)+IF(F112=CONCATENATE(G28,":",J28),Y28)+IF(F112=CONCATENATE(P30,":",S30),Y30)+IF(F112=CONCATENATE(P32,":",S32),Y32)+IF(F112=CONCATENATE(P34,":",S34),Y34)+IF(F112=CONCATENATE(P36,":",S36),Y36)</f>
        <v>0</v>
      </c>
      <c r="H112" s="70"/>
    </row>
    <row r="113" spans="2:8" s="64" customFormat="1" ht="15" x14ac:dyDescent="0.3">
      <c r="B113" s="68"/>
      <c r="C113" s="69"/>
      <c r="D113" s="69"/>
      <c r="E113" s="69"/>
      <c r="F113" s="77" t="s">
        <v>237</v>
      </c>
      <c r="G113" s="79">
        <f>IF(F113=CONCATENATE(G14,":",J14),Y14)+IF(F113=CONCATENATE(G16,":",J16),Y16)+IF(F113=CONCATENATE(G18,":",J18),Y18)+IF(F113=CONCATENATE(G20,":",J20),Y20)+IF(F113=CONCATENATE(G22,":",J22),Y22)+IF(F113=CONCATENATE(G24,":",J24),Y24)+IF(F113=CONCATENATE(G26,":",J26),Y26)+IF(F113=CONCATENATE(G28,":",J28),Y28)+IF(F113=CONCATENATE(P30,":",S30),Y30)+IF(F113=CONCATENATE(P32,":",S32),Y32)+IF(F113=CONCATENATE(P34,":",S34),Y34)+IF(F113=CONCATENATE(P36,":",S36),Y36)</f>
        <v>0</v>
      </c>
      <c r="H113" s="70"/>
    </row>
    <row r="114" spans="2:8" s="64" customFormat="1" ht="15" x14ac:dyDescent="0.3">
      <c r="B114" s="68"/>
      <c r="C114" s="69"/>
      <c r="D114" s="69"/>
      <c r="E114" s="69"/>
      <c r="F114" s="77" t="s">
        <v>238</v>
      </c>
      <c r="G114" s="79">
        <f>IF(F114=CONCATENATE(G14,":",J14),Y14)+IF(F114=CONCATENATE(G16,":",J16),Y16)+IF(F114=CONCATENATE(G18,":",J18),Y18)+IF(F114=CONCATENATE(G20,":",J20),Y20)+IF(F114=CONCATENATE(G22,":",J22),Y22)+IF(F114=CONCATENATE(G24,":",J24),Y24)+IF(F114=CONCATENATE(G26,":",J26),Y26)+IF(F114=CONCATENATE(G28,":",J28),Y28)+IF(F114=CONCATENATE(P30,":",S30),Y30)+IF(F114=CONCATENATE(P32,":",S32),Y32)+IF(F114=CONCATENATE(P34,":",S34),Y34)+IF(F114=CONCATENATE(P36,":",S36),Y36)</f>
        <v>0</v>
      </c>
      <c r="H114" s="70"/>
    </row>
    <row r="115" spans="2:8" s="64" customFormat="1" ht="15" x14ac:dyDescent="0.3">
      <c r="B115" s="68"/>
      <c r="C115" s="69"/>
      <c r="D115" s="69"/>
      <c r="E115" s="69"/>
      <c r="F115" s="77" t="s">
        <v>239</v>
      </c>
      <c r="G115" s="79">
        <f>IF(F115=CONCATENATE(G14,":",J14),Y14)+IF(F115=CONCATENATE(G16,":",J16),Y16)+IF(F115=CONCATENATE(G18,":",J18),Y18)+IF(F115=CONCATENATE(G20,":",J20),Y20)+IF(F115=CONCATENATE(G22,":",J22),Y22)+IF(F115=CONCATENATE(G24,":",J24),Y24)+IF(F115=CONCATENATE(G26,":",J26),Y26)+IF(F115=CONCATENATE(G28,":",J28),Y28)+IF(F115=CONCATENATE(P30,":",S30),Y30)+IF(F115=CONCATENATE(P32,":",S32),Y32)+IF(F115=CONCATENATE(P34,":",S34),Y34)+IF(F115=CONCATENATE(P36,":",S36),Y36)</f>
        <v>0</v>
      </c>
      <c r="H115" s="70"/>
    </row>
    <row r="116" spans="2:8" s="64" customFormat="1" ht="15" x14ac:dyDescent="0.3">
      <c r="B116" s="68"/>
      <c r="C116" s="69"/>
      <c r="D116" s="69"/>
      <c r="E116" s="69"/>
      <c r="F116" s="77" t="s">
        <v>321</v>
      </c>
      <c r="G116" s="79">
        <f>IF(F116=CONCATENATE(G14,":",J14),Y14)+IF(F116=CONCATENATE(G16,":",J16),Y16)+IF(F116=CONCATENATE(G18,":",J18),Y18)+IF(F116=CONCATENATE(G20,":",J20),Y20)+IF(F116=CONCATENATE(G22,":",J22),Y22)+IF(F116=CONCATENATE(G24,":",J24),Y24)+IF(F116=CONCATENATE(G26,":",J26),Y26)+IF(F116=CONCATENATE(G28,":",J28),Y28)+IF(F116=CONCATENATE(P30,":",S30),Y30)+IF(F116=CONCATENATE(P32,":",S32),Y32)+IF(F116=CONCATENATE(P34,":",S34),Y34)+IF(F116=CONCATENATE(P36,":",S36),Y36)</f>
        <v>0</v>
      </c>
      <c r="H116" s="70"/>
    </row>
    <row r="117" spans="2:8" s="64" customFormat="1" ht="15" x14ac:dyDescent="0.3">
      <c r="B117" s="68"/>
      <c r="C117" s="69"/>
      <c r="D117" s="69"/>
      <c r="E117" s="69"/>
      <c r="F117" s="77" t="s">
        <v>240</v>
      </c>
      <c r="G117" s="79">
        <f>IF(F117=CONCATENATE(G14,":",J14),Y14)+IF(F117=CONCATENATE(G16,":",J16),Y16)+IF(F117=CONCATENATE(G18,":",J18),Y18)+IF(F117=CONCATENATE(G20,":",J20),Y20)+IF(F117=CONCATENATE(G22,":",J22),Y22)+IF(F117=CONCATENATE(G24,":",J24),Y24)+IF(F117=CONCATENATE(G26,":",J26),Y26)+IF(F117=CONCATENATE(G28,":",J28),Y28)+IF(F117=CONCATENATE(P30,":",S30),Y30)+IF(F117=CONCATENATE(P32,":",S32),Y32)+IF(F117=CONCATENATE(P34,":",S34),Y34)+IF(F117=CONCATENATE(P36,":",S36),Y36)</f>
        <v>0</v>
      </c>
      <c r="H117" s="70"/>
    </row>
    <row r="118" spans="2:8" s="64" customFormat="1" ht="15" x14ac:dyDescent="0.3">
      <c r="B118" s="68"/>
      <c r="C118" s="69"/>
      <c r="D118" s="69"/>
      <c r="E118" s="69"/>
      <c r="F118" s="77" t="s">
        <v>305</v>
      </c>
      <c r="G118" s="79">
        <f>IF(F118=CONCATENATE(G14,":",J14),Y14)+IF(F118=CONCATENATE(G16,":",J16),Y16)+IF(F118=CONCATENATE(G18,":",J18),Y18)+IF(F118=CONCATENATE(G20,":",J20),Y20)+IF(F118=CONCATENATE(G22,":",J22),Y22)+IF(F118=CONCATENATE(G24,":",J24),Y24)+IF(F118=CONCATENATE(G26,":",J26),Y26)+IF(F118=CONCATENATE(G28,":",J28),Y28)+IF(F118=CONCATENATE(P30,":",S30),Y30)+IF(F118=CONCATENATE(P32,":",S32),Y32)+IF(F118=CONCATENATE(P34,":",S34),Y34)+IF(F118=CONCATENATE(P36,":",S36),Y36)</f>
        <v>0</v>
      </c>
      <c r="H118" s="70"/>
    </row>
    <row r="119" spans="2:8" s="64" customFormat="1" ht="15" x14ac:dyDescent="0.3">
      <c r="B119" s="68"/>
      <c r="C119" s="69"/>
      <c r="D119" s="69"/>
      <c r="E119" s="69"/>
      <c r="F119" s="77" t="s">
        <v>244</v>
      </c>
      <c r="G119" s="79">
        <f>IF(F119=CONCATENATE(G14,":",J14),Y14)+IF(F119=CONCATENATE(G16,":",J16),Y16)+IF(F119=CONCATENATE(G18,":",J18),Y18)+IF(F119=CONCATENATE(G20,":",J20),Y20)+IF(F119=CONCATENATE(G22,":",J22),Y22)+IF(F119=CONCATENATE(G24,":",J24),Y24)+IF(F119=CONCATENATE(G26,":",J26),Y26)+IF(F119=CONCATENATE(G28,":",J28),Y28)+IF(F119=CONCATENATE(P30,":",S30),Y30)+IF(F119=CONCATENATE(P32,":",S32),Y32)+IF(F119=CONCATENATE(P34,":",S34),Y34)+IF(F119=CONCATENATE(P36,":",S36),Y36)</f>
        <v>0</v>
      </c>
      <c r="H119" s="70"/>
    </row>
    <row r="120" spans="2:8" s="64" customFormat="1" ht="15" x14ac:dyDescent="0.3">
      <c r="B120" s="68"/>
      <c r="C120" s="69"/>
      <c r="D120" s="69"/>
      <c r="E120" s="69"/>
      <c r="F120" s="77" t="s">
        <v>241</v>
      </c>
      <c r="G120" s="79">
        <f>IF(F120=CONCATENATE(G14,":",J14),Y14)+IF(F120=CONCATENATE(G16,":",J16),Y16)+IF(F120=CONCATENATE(G18,":",J18),Y18)+IF(F120=CONCATENATE(G20,":",J20),Y20)+IF(F120=CONCATENATE(G22,":",J22),Y22)+IF(F120=CONCATENATE(G24,":",J24),Y24)+IF(F120=CONCATENATE(G26,":",J26),Y26)+IF(F120=CONCATENATE(G28,":",J28),Y28)+IF(F120=CONCATENATE(P30,":",S30),Y30)+IF(F120=CONCATENATE(P32,":",S32),Y32)+IF(F120=CONCATENATE(P34,":",S34),Y34)+IF(F120=CONCATENATE(P36,":",S36),Y36)</f>
        <v>0</v>
      </c>
      <c r="H120" s="70"/>
    </row>
    <row r="121" spans="2:8" s="64" customFormat="1" ht="15" x14ac:dyDescent="0.3">
      <c r="B121" s="68"/>
      <c r="C121" s="69"/>
      <c r="D121" s="69"/>
      <c r="E121" s="69"/>
      <c r="F121" s="77" t="s">
        <v>317</v>
      </c>
      <c r="G121" s="79">
        <f>IF(F121=CONCATENATE(G14,":",J14),Y14)+IF(F121=CONCATENATE(G16,":",J16),Y16)+IF(F121=CONCATENATE(G18,":",J18),Y18)+IF(F121=CONCATENATE(G20,":",J20),Y20)+IF(F121=CONCATENATE(G22,":",J22),Y22)+IF(F121=CONCATENATE(G24,":",J24),Y24)+IF(F121=CONCATENATE(G26,":",J26),Y26)+IF(F121=CONCATENATE(G28,":",J28),Y28)+IF(F121=CONCATENATE(P30,":",S30),Y30)+IF(F121=CONCATENATE(P32,":",S32),Y32)+IF(F121=CONCATENATE(P34,":",S34),Y34)+IF(F121=CONCATENATE(P36,":",S36),Y36)</f>
        <v>0</v>
      </c>
      <c r="H121" s="70"/>
    </row>
    <row r="122" spans="2:8" s="64" customFormat="1" ht="15" x14ac:dyDescent="0.3">
      <c r="B122" s="68"/>
      <c r="C122" s="69"/>
      <c r="D122" s="69"/>
      <c r="E122" s="69"/>
      <c r="F122" s="77" t="s">
        <v>242</v>
      </c>
      <c r="G122" s="79">
        <f>IF(F122=CONCATENATE(G14,":",J14),Y14)+IF(F122=CONCATENATE(G16,":",J16),Y16)+IF(F122=CONCATENATE(G18,":",J18),Y18)+IF(F122=CONCATENATE(G20,":",J20),Y20)+IF(F122=CONCATENATE(G22,":",J22),Y22)+IF(F122=CONCATENATE(G24,":",J24),Y24)+IF(F122=CONCATENATE(G26,":",J26),Y26)+IF(F122=CONCATENATE(G28,":",J28),Y28)+IF(F122=CONCATENATE(P30,":",S30),Y30)+IF(F122=CONCATENATE(P32,":",S32),Y32)+IF(F122=CONCATENATE(P34,":",S34),Y34)+IF(F122=CONCATENATE(P36,":",S36),Y36)</f>
        <v>0</v>
      </c>
      <c r="H122" s="70"/>
    </row>
    <row r="123" spans="2:8" s="64" customFormat="1" ht="15" x14ac:dyDescent="0.3">
      <c r="B123" s="68"/>
      <c r="C123" s="69"/>
      <c r="D123" s="69"/>
      <c r="E123" s="69"/>
      <c r="F123" s="77" t="s">
        <v>322</v>
      </c>
      <c r="G123" s="79">
        <f>IF(F123=CONCATENATE(G14,":",J14),Y14)+IF(F123=CONCATENATE(G16,":",J16),Y16)+IF(F123=CONCATENATE(G18,":",J18),Y18)+IF(F123=CONCATENATE(G20,":",J20),Y20)+IF(F123=CONCATENATE(G22,":",J22),Y22)+IF(F123=CONCATENATE(G24,":",J24),Y24)+IF(F123=CONCATENATE(G26,":",J26),Y26)+IF(F123=CONCATENATE(G28,":",J28),Y28)+IF(F123=CONCATENATE(P30,":",S30),Y30)+IF(F123=CONCATENATE(P32,":",S32),Y32)+IF(F123=CONCATENATE(P34,":",S34),Y34)+IF(F123=CONCATENATE(P36,":",S36),Y36)</f>
        <v>0</v>
      </c>
      <c r="H123" s="70"/>
    </row>
    <row r="124" spans="2:8" s="64" customFormat="1" ht="15" x14ac:dyDescent="0.3">
      <c r="B124" s="68"/>
      <c r="C124" s="69"/>
      <c r="D124" s="69"/>
      <c r="E124" s="69"/>
      <c r="F124" s="77" t="s">
        <v>311</v>
      </c>
      <c r="G124" s="79">
        <f>IF(F124=CONCATENATE(G14,":",J14),Y14)+IF(F124=CONCATENATE(G16,":",J16),Y16)+IF(F124=CONCATENATE(G18,":",J18),Y18)+IF(F124=CONCATENATE(G20,":",J20),Y20)+IF(F124=CONCATENATE(G22,":",J22),Y22)+IF(F124=CONCATENATE(G24,":",J24),Y24)+IF(F124=CONCATENATE(G26,":",J26),Y26)+IF(F124=CONCATENATE(G28,":",J28),Y28)+IF(F124=CONCATENATE(P30,":",S30),Y30)+IF(F124=CONCATENATE(P32,":",S32),Y32)+IF(F124=CONCATENATE(P34,":",S34),Y34)+IF(F124=CONCATENATE(P36,":",S36),Y36)</f>
        <v>0</v>
      </c>
      <c r="H124" s="70"/>
    </row>
    <row r="125" spans="2:8" s="64" customFormat="1" ht="15" x14ac:dyDescent="0.3">
      <c r="B125" s="68"/>
      <c r="C125" s="69"/>
      <c r="D125" s="69"/>
      <c r="E125" s="69"/>
      <c r="F125" s="77" t="s">
        <v>243</v>
      </c>
      <c r="G125" s="79">
        <f>IF(F125=CONCATENATE(G14,":",J14),Y14)+IF(F125=CONCATENATE(G16,":",J16),Y16)+IF(F125=CONCATENATE(G18,":",J18),Y18)+IF(F125=CONCATENATE(G20,":",J20),Y20)+IF(F125=CONCATENATE(G22,":",J22),Y22)+IF(F125=CONCATENATE(G24,":",J24),Y24)+IF(F125=CONCATENATE(G26,":",J26),Y26)+IF(F125=CONCATENATE(G28,":",J28),Y28)+IF(F125=CONCATENATE(P30,":",S30),Y30)+IF(F125=CONCATENATE(P32,":",S32),Y32)+IF(F125=CONCATENATE(P34,":",S34),Y34)+IF(F125=CONCATENATE(P36,":",S36),Y36)</f>
        <v>0</v>
      </c>
      <c r="H125" s="70"/>
    </row>
    <row r="126" spans="2:8" s="64" customFormat="1" ht="15" x14ac:dyDescent="0.3">
      <c r="B126" s="68"/>
      <c r="C126" s="69"/>
      <c r="D126" s="69"/>
      <c r="E126" s="69"/>
      <c r="F126" s="77" t="s">
        <v>312</v>
      </c>
      <c r="G126" s="79">
        <f>IF(F126=CONCATENATE(G14,":",J14),Y14)+IF(F126=CONCATENATE(G16,":",J16),Y16)+IF(F126=CONCATENATE(G18,":",J18),Y18)+IF(F126=CONCATENATE(G20,":",J20),Y20)+IF(F126=CONCATENATE(G22,":",J22),Y22)+IF(F126=CONCATENATE(G24,":",J24),Y24)+IF(F126=CONCATENATE(G26,":",J26),Y26)+IF(F126=CONCATENATE(G28,":",J28),Y28)+IF(F126=CONCATENATE(P30,":",S30),Y30)+IF(F126=CONCATENATE(P32,":",S32),Y32)+IF(F126=CONCATENATE(P34,":",S34),Y34)+IF(F126=CONCATENATE(P36,":",S36),Y36)</f>
        <v>0</v>
      </c>
      <c r="H126" s="70"/>
    </row>
    <row r="127" spans="2:8" s="64" customFormat="1" ht="15" x14ac:dyDescent="0.3">
      <c r="B127" s="68"/>
      <c r="C127" s="69"/>
      <c r="D127" s="69"/>
      <c r="E127" s="69"/>
      <c r="F127" s="77" t="s">
        <v>313</v>
      </c>
      <c r="G127" s="79">
        <f>IF(F127=CONCATENATE(G14,":",J14),Y14)+IF(F127=CONCATENATE(G16,":",J16),Y16)+IF(F127=CONCATENATE(G18,":",J18),Y18)+IF(F127=CONCATENATE(G20,":",J20),Y20)+IF(F127=CONCATENATE(G22,":",J22),Y22)+IF(F127=CONCATENATE(G24,":",J24),Y24)+IF(F127=CONCATENATE(G26,":",J26),Y26)+IF(F127=CONCATENATE(G28,":",J28),Y28)+IF(F127=CONCATENATE(P30,":",S30),Y30)+IF(F127=CONCATENATE(P32,":",S32),Y32)+IF(F127=CONCATENATE(P34,":",S34),Y34)+IF(F127=CONCATENATE(P36,":",S36),Y36)</f>
        <v>0</v>
      </c>
      <c r="H127" s="70"/>
    </row>
    <row r="128" spans="2:8" s="64" customFormat="1" ht="15" x14ac:dyDescent="0.3">
      <c r="B128" s="68"/>
      <c r="C128" s="69"/>
      <c r="D128" s="69"/>
      <c r="E128" s="69"/>
      <c r="F128" s="77" t="s">
        <v>288</v>
      </c>
      <c r="G128" s="79">
        <f>IF(F128=CONCATENATE(G14,":",J14),Y14)+IF(F128=CONCATENATE(G16,":",J16),Y16)+IF(F128=CONCATENATE(G18,":",J18),Y18)+IF(F128=CONCATENATE(G20,":",J20),Y20)+IF(F128=CONCATENATE(G22,":",J22),Y22)+IF(F128=CONCATENATE(G24,":",J24),Y24)+IF(F128=CONCATENATE(G26,":",J26),Y26)+IF(F128=CONCATENATE(G28,":",J28),Y28)+IF(F128=CONCATENATE(P30,":",S30),Y30)+IF(F128=CONCATENATE(P32,":",S32),Y32)+IF(F128=CONCATENATE(P34,":",S34),Y34)+IF(F128=CONCATENATE(P36,":",S36),Y36)</f>
        <v>0</v>
      </c>
      <c r="H128" s="70"/>
    </row>
    <row r="129" spans="2:8" s="64" customFormat="1" ht="15" x14ac:dyDescent="0.3">
      <c r="B129" s="68"/>
      <c r="C129" s="69"/>
      <c r="D129" s="69"/>
      <c r="E129" s="69"/>
      <c r="F129" s="77" t="s">
        <v>245</v>
      </c>
      <c r="G129" s="79">
        <f>IF(F129=CONCATENATE(G14,":",J14),Y14)+IF(F129=CONCATENATE(G16,":",J16),Y16)+IF(F129=CONCATENATE(G18,":",J18),Y18)+IF(F129=CONCATENATE(G20,":",J20),Y20)+IF(F129=CONCATENATE(G22,":",J22),Y22)+IF(F129=CONCATENATE(G24,":",J24),Y24)+IF(F129=CONCATENATE(G26,":",J26),Y26)+IF(F129=CONCATENATE(G28,":",J28),Y28)+IF(F129=CONCATENATE(P30,":",S30),Y30)+IF(F129=CONCATENATE(P32,":",S32),Y32)+IF(F129=CONCATENATE(P34,":",S34),Y34)+IF(F129=CONCATENATE(P36,":",S36),Y36)</f>
        <v>0</v>
      </c>
      <c r="H129" s="70"/>
    </row>
    <row r="130" spans="2:8" s="64" customFormat="1" ht="15" x14ac:dyDescent="0.3">
      <c r="B130" s="68"/>
      <c r="C130" s="69"/>
      <c r="D130" s="69"/>
      <c r="E130" s="69"/>
      <c r="F130" s="77" t="s">
        <v>246</v>
      </c>
      <c r="G130" s="79">
        <f>IF(F130=CONCATENATE(G14,":",J14),Y14)+IF(F130=CONCATENATE(G16,":",J16),Y16)+IF(F130=CONCATENATE(G18,":",J18),Y18)+IF(F130=CONCATENATE(G20,":",J20),Y20)+IF(F130=CONCATENATE(G22,":",J22),Y22)+IF(F130=CONCATENATE(G24,":",J24),Y24)+IF(F130=CONCATENATE(G26,":",J26),Y26)+IF(F130=CONCATENATE(G28,":",J28),Y28)+IF(F130=CONCATENATE(P30,":",S30),Y30)+IF(F130=CONCATENATE(P32,":",S32),Y32)+IF(F130=CONCATENATE(P34,":",S34),Y34)+IF(F130=CONCATENATE(P36,":",S36),Y36)</f>
        <v>0</v>
      </c>
      <c r="H130" s="70"/>
    </row>
    <row r="131" spans="2:8" s="64" customFormat="1" ht="15" x14ac:dyDescent="0.3">
      <c r="B131" s="68"/>
      <c r="C131" s="69"/>
      <c r="D131" s="69"/>
      <c r="E131" s="69"/>
      <c r="F131" s="77" t="s">
        <v>247</v>
      </c>
      <c r="G131" s="79">
        <f>IF(F131=CONCATENATE(G14,":",J14),Y14)+IF(F131=CONCATENATE(G16,":",J16),Y16)+IF(F131=CONCATENATE(G18,":",J18),Y18)+IF(F131=CONCATENATE(G20,":",J20),Y20)+IF(F131=CONCATENATE(G22,":",J22),Y22)+IF(F131=CONCATENATE(G24,":",J24),Y24)+IF(F131=CONCATENATE(G26,":",J26),Y26)+IF(F131=CONCATENATE(G28,":",J28),Y28)+IF(F131=CONCATENATE(P30,":",S30),Y30)+IF(F131=CONCATENATE(P32,":",S32),Y32)+IF(F131=CONCATENATE(P34,":",S34),Y34)+IF(F131=CONCATENATE(P36,":",S36),Y36)</f>
        <v>0</v>
      </c>
      <c r="H131" s="70"/>
    </row>
    <row r="132" spans="2:8" s="64" customFormat="1" ht="15" x14ac:dyDescent="0.3">
      <c r="B132" s="68"/>
      <c r="C132" s="69"/>
      <c r="D132" s="69"/>
      <c r="E132" s="69"/>
      <c r="F132" s="77" t="s">
        <v>248</v>
      </c>
      <c r="G132" s="79">
        <f>IF(F132=CONCATENATE(G14,":",J14),Y14)+IF(F132=CONCATENATE(G16,":",J16),Y16)+IF(F132=CONCATENATE(G18,":",J18),Y18)+IF(F132=CONCATENATE(G20,":",J20),Y20)+IF(F132=CONCATENATE(G22,":",J22),Y22)+IF(F132=CONCATENATE(G24,":",J24),Y24)+IF(F132=CONCATENATE(G26,":",J26),Y26)+IF(F132=CONCATENATE(G28,":",J28),Y28)+IF(F132=CONCATENATE(P30,":",S30),Y30)+IF(F132=CONCATENATE(P32,":",S32),Y32)+IF(F132=CONCATENATE(P34,":",S34),Y34)+IF(F132=CONCATENATE(P36,":",S36),Y36)</f>
        <v>0</v>
      </c>
      <c r="H132" s="70"/>
    </row>
    <row r="133" spans="2:8" s="64" customFormat="1" ht="15" x14ac:dyDescent="0.3">
      <c r="B133" s="68"/>
      <c r="C133" s="69"/>
      <c r="D133" s="69"/>
      <c r="E133" s="69"/>
      <c r="F133" s="77" t="s">
        <v>249</v>
      </c>
      <c r="G133" s="79">
        <f>IF(F133=CONCATENATE(G14,":",J14),Y14)+IF(F133=CONCATENATE(G16,":",J16),Y16)+IF(F133=CONCATENATE(G18,":",J18),Y18)+IF(F133=CONCATENATE(G20,":",J20),Y20)+IF(F133=CONCATENATE(G22,":",J22),Y22)+IF(F133=CONCATENATE(G24,":",J24),Y24)+IF(F131=CONCATENATE(G26,":",J26),Y26)+IF(F133=CONCATENATE(G28,":",J28),Y28)+IF(F133=CONCATENATE(P30,":",S30),Y30)+IF(F133=CONCATENATE(P32,":",S32),Y32)+IF(F133=CONCATENATE(P34,":",S34),Y34)+IF(F133=CONCATENATE(P36,":",S36),Y36)</f>
        <v>0</v>
      </c>
      <c r="H133" s="70"/>
    </row>
    <row r="134" spans="2:8" s="64" customFormat="1" ht="15" x14ac:dyDescent="0.3">
      <c r="B134" s="68"/>
      <c r="C134" s="69"/>
      <c r="D134" s="69"/>
      <c r="E134" s="69"/>
      <c r="F134" s="77" t="s">
        <v>250</v>
      </c>
      <c r="G134" s="79">
        <f>IF(F134=CONCATENATE(G14,":",J14),Y14)+IF(F134=CONCATENATE(G16,":",J16),Y16)+IF(F134=CONCATENATE(G18,":",J18),Y18)+IF(F134=CONCATENATE(G20,":",J20),Y20)+IF(F134=CONCATENATE(G22,":",J22),Y22)+IF(F134=CONCATENATE(G24,":",J24),Y24)+IF(F132=CONCATENATE(G26,":",J26),Y26)+IF(F134=CONCATENATE(G28,":",J28),Y28)+IF(F134=CONCATENATE(P30,":",S30),Y30)+IF(F134=CONCATENATE(P32,":",S32),Y32)+IF(F134=CONCATENATE(P34,":",S34),Y34)+IF(F134=CONCATENATE(P36,":",S36),Y36)</f>
        <v>0</v>
      </c>
      <c r="H134" s="70"/>
    </row>
    <row r="135" spans="2:8" s="64" customFormat="1" ht="15" x14ac:dyDescent="0.3">
      <c r="B135" s="68"/>
      <c r="C135" s="69"/>
      <c r="D135" s="69"/>
      <c r="E135" s="69"/>
      <c r="F135" s="80" t="s">
        <v>251</v>
      </c>
      <c r="G135" s="79">
        <f>IF(F135=CONCATENATE(G14,":",J14),Y14)+IF(F135=CONCATENATE(G16,":",J16),Y16)+IF(F135=CONCATENATE(G18,":",J18),Y18)+IF(F135=CONCATENATE(G20,":",J20),Y20)+IF(F135=CONCATENATE(G22,":",J22),Y22)+IF(F135=CONCATENATE(G24,":",J24),Y24)+IF(F135=CONCATENATE(G26,":",J26),Y26)+IF(F135=CONCATENATE(G28,":",J28),Y28)+IF(F135=CONCATENATE(P30,":",S30),Y30)+IF(F135=CONCATENATE(P32,":",S32),Y32)+IF(F135=CONCATENATE(P34,":",S34),Y34)+IF(F135=CONCATENATE(P36,":",S36),Y36)</f>
        <v>0</v>
      </c>
      <c r="H135" s="70"/>
    </row>
    <row r="136" spans="2:8" s="64" customFormat="1" ht="15" x14ac:dyDescent="0.3">
      <c r="B136" s="68"/>
      <c r="F136" s="77" t="s">
        <v>314</v>
      </c>
      <c r="G136" s="79">
        <f>IF(F136=CONCATENATE(G14,":",J14),Y14)+IF(F136=CONCATENATE(G16,":",J16),Y16)+IF(F136=CONCATENATE(G18,":",J18),Y18)+IF(F136=CONCATENATE(G20,":",J20),Y20)+IF(F136=CONCATENATE(G22,":",J22),Y22)+IF(F136=CONCATENATE(G24,":",J24),Y24)+IF(F136=CONCATENATE(G26,":",J26),Y26)+IF(F136=CONCATENATE(G28,":",J28),Y28)+IF(F136=CONCATENATE(P30,":",S30),Y30)+IF(F136=CONCATENATE(P32,":",S32),Y32)+IF(F136=CONCATENATE(P34,":",S34),Y34)+IF(F136=CONCATENATE(P36,":",S36),Y36)</f>
        <v>0</v>
      </c>
      <c r="H136" s="70"/>
    </row>
    <row r="137" spans="2:8" s="64" customFormat="1" ht="15" x14ac:dyDescent="0.3">
      <c r="B137" s="68"/>
      <c r="F137" s="77" t="s">
        <v>252</v>
      </c>
      <c r="G137" s="79">
        <f>IF(F137=CONCATENATE(G14,":",J14),Y14)+IF(F137=CONCATENATE(G16,":",J16),Y16)+IF(F137=CONCATENATE(G18,":",J18),Y18)+IF(F137=CONCATENATE(G20,":",J20),Y20)+IF(F137=CONCATENATE(G22,":",J22),Y22)+IF(F137=CONCATENATE(G24,":",J24),Y24)+IF(F137=CONCATENATE(G26,":",J26),Y26)+IF(F137=CONCATENATE(G28,":",J28),Y28)+IF(F137=CONCATENATE(P30,":",S30),Y30)+IF(F137=CONCATENATE(P32,":",S32),Y32)+IF(F137=CONCATENATE(P34,":",S34),Y34)+IF(F137=CONCATENATE(P36,":",S36),Y36)</f>
        <v>0</v>
      </c>
      <c r="H137" s="70"/>
    </row>
    <row r="138" spans="2:8" s="64" customFormat="1" ht="15" x14ac:dyDescent="0.3">
      <c r="B138" s="68"/>
      <c r="F138" s="77" t="s">
        <v>294</v>
      </c>
      <c r="G138" s="79">
        <f>IF(F138=CONCATENATE(G14,":",J14),Y14)+IF(F138=CONCATENATE(G16,":",J16),Y16)+IF(F138=CONCATENATE(G18,":",J18),Y18)+IF(F138=CONCATENATE(G20,":",J20),Y20)+IF(F138=CONCATENATE(G22,":",J22),Y22)+IF(F138=CONCATENATE(G24,":",J24),Y24)+IF(F138=CONCATENATE(G26,":",J26),Y26)+IF(F138=CONCATENATE(G28,":",J28),Y28)+IF(F138=CONCATENATE(P30,":",S30),Y30)+IF(F138=CONCATENATE(P32,":",S32),Y32)+IF(F138=CONCATENATE(P34,":",S34),Y34)+IF(F138=CONCATENATE(P36,":",S36),Y36)</f>
        <v>0.5</v>
      </c>
      <c r="H138" s="70"/>
    </row>
    <row r="139" spans="2:8" s="64" customFormat="1" ht="15" x14ac:dyDescent="0.3">
      <c r="B139" s="68"/>
      <c r="F139" s="77" t="s">
        <v>315</v>
      </c>
      <c r="G139" s="79">
        <f>IF(F139=CONCATENATE(G14,":",J14),Y14)+IF(F139=CONCATENATE(G16,":",J16),Y16)+IF(F139=CONCATENATE(G18,":",J18),Y18)+IF(F139=CONCATENATE(G20,":",J20),Y20)+IF(F139=CONCATENATE(G22,":",J22),Y22)+IF(F139=CONCATENATE(G24,":",J24),Y24)+IF(F139=CONCATENATE(G26,":",J26),Y26)+IF(F139=CONCATENATE(G28,":",J28),Y28)+IF(F139=CONCATENATE(P30,":",S30),Y30)+IF(F139=CONCATENATE(P32,":",S32),Y32)+IF(F139=CONCATENATE(P34,":",S34),Y34)+IF(F139=CONCATENATE(P36,":",S36),Y36)</f>
        <v>0</v>
      </c>
      <c r="H139" s="70"/>
    </row>
    <row r="140" spans="2:8" s="64" customFormat="1" ht="15" x14ac:dyDescent="0.3">
      <c r="B140" s="68"/>
      <c r="F140" s="77" t="s">
        <v>319</v>
      </c>
      <c r="G140" s="79">
        <f>IF(F140=CONCATENATE(G14,":",J14),Y14)+IF(F140=CONCATENATE(G16,":",J16),Y16)+IF(F140=CONCATENATE(G18,":",J18),Y18)+IF(F140=CONCATENATE(G20,":",J20),Y20)+IF(F140=CONCATENATE(G22,":",J22),Y22)+IF(F140=CONCATENATE(G24,":",J24),Y24)+IF(F140=CONCATENATE(G26,":",J26),Y26)+IF(F140=CONCATENATE(G28,":",J28),Y28)+IF(F140=CONCATENATE(P30,":",S30),Y30)+IF(F140=CONCATENATE(P32,":",S32),Y32)+IF(F140=CONCATENATE(P34,":",S34),Y34)+IF(F140=CONCATENATE(P36,":",S36),Y36)</f>
        <v>0</v>
      </c>
      <c r="H140" s="70"/>
    </row>
    <row r="141" spans="2:8" s="64" customFormat="1" ht="15" x14ac:dyDescent="0.3">
      <c r="B141" s="68"/>
      <c r="F141" s="77" t="s">
        <v>282</v>
      </c>
      <c r="G141" s="79">
        <f>IF(F141=CONCATENATE(G14,":",J14),Y14)+IF(F141=CONCATENATE(G16,":",J16),Y16)+IF(F141=CONCATENATE(G18,":",J18),Y18)+IF(F141=CONCATENATE(G20,":",J20),Y20)+IF(F141=CONCATENATE(G22,":",J22),Y22)+IF(F141=CONCATENATE(G24,":",J24),Y24)+IF(F141=CONCATENATE(G26,":",J26),Y26)+IF(F141=CONCATENATE(G28,":",J28),Y28)+IF(F141=CONCATENATE(P30,":",S30),Y30)+IF(F141=CONCATENATE(P32,":",S32),Y32)+IF(F141=CONCATENATE(P34,":",S34),Y34)+IF(F141=CONCATENATE(P36,":",S36),Y36)</f>
        <v>0</v>
      </c>
      <c r="H141" s="70"/>
    </row>
    <row r="142" spans="2:8" s="64" customFormat="1" ht="15" x14ac:dyDescent="0.3">
      <c r="B142" s="71"/>
      <c r="C142" s="72"/>
      <c r="D142" s="72"/>
      <c r="E142" s="72"/>
      <c r="F142" s="81" t="s">
        <v>283</v>
      </c>
      <c r="G142" s="76">
        <f>IF(F142=CONCATENATE(G14,":",J14),Y14)+IF(F142=CONCATENATE(G16,":",J16),Y16)+IF(F142=CONCATENATE(G18,":",J18),Y18)+IF(F142=CONCATENATE(G20,":",J20),Y20)+IF(F142=CONCATENATE(G22,":",J22),Y22)+IF(F142=CONCATENATE(G24,":",J24),Y24)+IF(F142=CONCATENATE(G26,":",J26),Y26)+IF(F142=CONCATENATE(G28,":",J28),Y28)+IF(F142=CONCATENATE(P30,":",S30),Y30)+IF(F142=CONCATENATE(P32,":",S32),Y32)+IF(F142=CONCATENATE(P34,":",S34),Y34)+IF(F142=CONCATENATE(P36,":",S36),Y36)</f>
        <v>0</v>
      </c>
      <c r="H142" s="73"/>
    </row>
    <row r="143" spans="2:8" s="64" customFormat="1" x14ac:dyDescent="0.3"/>
  </sheetData>
  <mergeCells count="1">
    <mergeCell ref="D4:G4"/>
  </mergeCells>
  <dataValidations count="9">
    <dataValidation type="list" showInputMessage="1" showErrorMessage="1" error="please select from list values" prompt="select product when applicable" sqref="M14 M16 M18 M26 M32 M34 M36 M20 M22 M24 M30 M28">
      <formula1>IF(D14="Customer",Primary,INDIRECT("formdata!A2"))</formula1>
    </dataValidation>
    <dataValidation type="list" showInputMessage="1" showErrorMessage="1" error="please select from list values" prompt="select interaction when applicable" sqref="P14 P34 P32 P26 P18 P16 P36 P20 P22 P24 P30 P28">
      <formula1>IF(D14="Customer",Interaction,INDIRECT("formdata!A2"))</formula1>
    </dataValidation>
    <dataValidation type="list" showInputMessage="1" showErrorMessage="1" error="please select from list values" prompt="select sub-type when applicable" sqref="S14 S34 S32 S18 S26 S16 S36 S20 S22 S24 S30 S28">
      <formula1>IF(D14="Customer",INDIRECT(P14),INDIRECT(G14))</formula1>
    </dataValidation>
    <dataValidation type="list" allowBlank="1" showInputMessage="1" showErrorMessage="1" prompt="select CSA" sqref="D4">
      <formula1>Names</formula1>
    </dataValidation>
    <dataValidation type="date" operator="greaterThan" allowBlank="1" showInputMessage="1" showErrorMessage="1" prompt="enter date" sqref="D6">
      <formula1>42005</formula1>
    </dataValidation>
    <dataValidation type="list" allowBlank="1" showInputMessage="1" showErrorMessage="1" sqref="D5">
      <formula1>Names</formula1>
    </dataValidation>
    <dataValidation type="list" showInputMessage="1" showErrorMessage="1" error="please select from list values" prompt="please select category" sqref="G26 G16 G18 G32 G14 G34 G36 G20 G22 G24 G30 G28">
      <formula1>INDIRECT(D14)</formula1>
    </dataValidation>
    <dataValidation type="list" showInputMessage="1" showErrorMessage="1" sqref="D16 D32 D18 D26 D14 D34 D36 D20 D22 D24 D30 D28">
      <formula1>Utilizations</formula1>
    </dataValidation>
    <dataValidation type="list" showInputMessage="1" showErrorMessage="1" errorTitle="&lt;&lt;SELECTION ERROR&gt;&gt;" error="please select from list values" prompt="select customer when applicable" sqref="J22 J16 J18 J20 J24 J26 J28 J30 J32 J34 J36 J14">
      <formula1>IF(D14="Customer",INDIRECT(G14),IF(D14="Travel",ALL_Customers,INDIRECT("formdata!A2")))</formula1>
    </dataValidation>
  </dataValidations>
  <pageMargins left="0.7" right="0.7" top="0.75" bottom="0.75" header="0.3" footer="0.3"/>
  <pageSetup orientation="portrait" horizontalDpi="4294967293" verticalDpi="4294967293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Y143"/>
  <sheetViews>
    <sheetView zoomScaleNormal="100" workbookViewId="0"/>
  </sheetViews>
  <sheetFormatPr defaultRowHeight="14.4" x14ac:dyDescent="0.3"/>
  <cols>
    <col min="1" max="1" width="1.77734375" style="3" customWidth="1"/>
    <col min="2" max="2" width="14.77734375" style="3" customWidth="1"/>
    <col min="3" max="3" width="1.77734375" style="3" customWidth="1"/>
    <col min="4" max="4" width="14.77734375" style="3" customWidth="1"/>
    <col min="5" max="5" width="1.77734375" style="3" customWidth="1"/>
    <col min="6" max="6" width="2.77734375" style="3" customWidth="1"/>
    <col min="7" max="7" width="14.77734375" style="3" customWidth="1"/>
    <col min="8" max="8" width="1.77734375" style="3" customWidth="1"/>
    <col min="9" max="9" width="2.77734375" style="3" customWidth="1"/>
    <col min="10" max="10" width="20.77734375" style="3" customWidth="1"/>
    <col min="11" max="11" width="1.77734375" style="3" customWidth="1"/>
    <col min="12" max="12" width="2.77734375" style="3" customWidth="1"/>
    <col min="13" max="13" width="8.77734375" style="3" customWidth="1"/>
    <col min="14" max="14" width="1.77734375" style="3" customWidth="1"/>
    <col min="15" max="15" width="2.77734375" style="3" customWidth="1"/>
    <col min="16" max="16" width="14.77734375" style="3" customWidth="1"/>
    <col min="17" max="17" width="1.77734375" style="3" customWidth="1"/>
    <col min="18" max="18" width="2.77734375" style="3" customWidth="1"/>
    <col min="19" max="19" width="20.77734375" style="3" customWidth="1"/>
    <col min="20" max="20" width="1.77734375" style="3" customWidth="1"/>
    <col min="21" max="21" width="2.77734375" style="3" customWidth="1"/>
    <col min="22" max="22" width="46.77734375" style="3" customWidth="1"/>
    <col min="23" max="23" width="1.77734375" style="3" customWidth="1"/>
    <col min="24" max="24" width="2.77734375" style="3" customWidth="1"/>
    <col min="25" max="25" width="10.77734375" style="3" customWidth="1"/>
    <col min="26" max="26" width="2.77734375" style="3" customWidth="1"/>
    <col min="27" max="16384" width="8.88671875" style="3"/>
  </cols>
  <sheetData>
    <row r="1" spans="2:25" ht="7.95" customHeight="1" x14ac:dyDescent="0.3"/>
    <row r="2" spans="2:25" s="5" customFormat="1" ht="22.05" customHeight="1" x14ac:dyDescent="0.4">
      <c r="B2" s="15" t="s">
        <v>201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2:25" ht="12" customHeight="1" x14ac:dyDescent="0.3"/>
    <row r="4" spans="2:25" s="5" customFormat="1" ht="18" customHeight="1" x14ac:dyDescent="0.35">
      <c r="B4" s="6" t="s">
        <v>0</v>
      </c>
      <c r="D4" s="82" t="s">
        <v>1</v>
      </c>
      <c r="E4" s="83"/>
      <c r="F4" s="83"/>
      <c r="G4" s="84"/>
    </row>
    <row r="5" spans="2:25" s="5" customFormat="1" ht="12" customHeight="1" x14ac:dyDescent="0.3">
      <c r="B5" s="6"/>
    </row>
    <row r="6" spans="2:25" ht="18" customHeight="1" x14ac:dyDescent="0.35">
      <c r="B6" s="6" t="s">
        <v>3</v>
      </c>
      <c r="D6" s="20">
        <f>MONDAY!D6+6</f>
        <v>42309</v>
      </c>
      <c r="G6" s="13" t="str">
        <f>UPPER(TEXT(D6,"DDDD"))</f>
        <v>SUNDAY</v>
      </c>
    </row>
    <row r="7" spans="2:25" ht="12" customHeight="1" x14ac:dyDescent="0.3"/>
    <row r="8" spans="2:25" s="5" customFormat="1" ht="18" customHeight="1" x14ac:dyDescent="0.3">
      <c r="B8" s="6" t="s">
        <v>27</v>
      </c>
      <c r="D8" s="16">
        <f>SUM(Y14:Y34)</f>
        <v>13</v>
      </c>
      <c r="P8" s="6"/>
      <c r="V8" s="6"/>
      <c r="Y8" s="7"/>
    </row>
    <row r="9" spans="2:25" s="5" customFormat="1" ht="12" customHeight="1" x14ac:dyDescent="0.3">
      <c r="B9" s="6"/>
      <c r="P9" s="6"/>
      <c r="V9" s="6"/>
      <c r="Y9" s="7"/>
    </row>
    <row r="10" spans="2:25" ht="42" customHeight="1" x14ac:dyDescent="0.3"/>
    <row r="11" spans="2:25" ht="4.95" customHeight="1" x14ac:dyDescent="0.3"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</row>
    <row r="12" spans="2:25" s="11" customFormat="1" ht="15.6" x14ac:dyDescent="0.3">
      <c r="B12" s="9" t="s">
        <v>4</v>
      </c>
      <c r="C12" s="9"/>
      <c r="D12" s="9" t="s">
        <v>5</v>
      </c>
      <c r="E12" s="9"/>
      <c r="F12" s="9"/>
      <c r="G12" s="10" t="s">
        <v>10</v>
      </c>
      <c r="H12" s="9"/>
      <c r="I12" s="9"/>
      <c r="J12" s="9" t="s">
        <v>11</v>
      </c>
      <c r="K12" s="9"/>
      <c r="L12" s="9"/>
      <c r="M12" s="9" t="s">
        <v>23</v>
      </c>
      <c r="N12" s="9"/>
      <c r="P12" s="10" t="s">
        <v>28</v>
      </c>
      <c r="Q12" s="9"/>
      <c r="R12" s="9"/>
      <c r="S12" s="9" t="s">
        <v>29</v>
      </c>
      <c r="T12" s="9"/>
      <c r="V12" s="10" t="s">
        <v>92</v>
      </c>
      <c r="W12" s="9"/>
      <c r="Y12" s="9" t="s">
        <v>12</v>
      </c>
    </row>
    <row r="13" spans="2:25" ht="4.95" customHeigh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</row>
    <row r="14" spans="2:25" s="14" customFormat="1" x14ac:dyDescent="0.3">
      <c r="B14" s="26">
        <v>1</v>
      </c>
      <c r="D14" s="26" t="s">
        <v>8</v>
      </c>
      <c r="E14" s="26"/>
      <c r="F14" s="26"/>
      <c r="G14" s="26" t="s">
        <v>179</v>
      </c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 t="s">
        <v>176</v>
      </c>
      <c r="T14" s="26"/>
      <c r="U14" s="26"/>
      <c r="V14" s="58" t="s">
        <v>336</v>
      </c>
      <c r="W14" s="26"/>
      <c r="X14" s="26"/>
      <c r="Y14" s="29">
        <v>13</v>
      </c>
    </row>
    <row r="15" spans="2:25" ht="4.95" customHeight="1" x14ac:dyDescent="0.3">
      <c r="B15" s="27"/>
      <c r="C15" s="12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60"/>
      <c r="W15" s="27"/>
      <c r="X15" s="27"/>
      <c r="Y15" s="30"/>
    </row>
    <row r="16" spans="2:25" s="14" customFormat="1" x14ac:dyDescent="0.3">
      <c r="B16" s="26">
        <v>2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58" t="s">
        <v>285</v>
      </c>
      <c r="W16" s="26"/>
      <c r="X16" s="26"/>
      <c r="Y16" s="29">
        <v>0</v>
      </c>
    </row>
    <row r="17" spans="2:25" ht="4.95" customHeight="1" x14ac:dyDescent="0.3">
      <c r="B17" s="27"/>
      <c r="C17" s="12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60"/>
      <c r="W17" s="27"/>
      <c r="X17" s="27"/>
      <c r="Y17" s="30"/>
    </row>
    <row r="18" spans="2:25" s="14" customFormat="1" x14ac:dyDescent="0.3">
      <c r="B18" s="26">
        <v>3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58"/>
      <c r="W18" s="26"/>
      <c r="X18" s="26"/>
      <c r="Y18" s="29">
        <v>0</v>
      </c>
    </row>
    <row r="19" spans="2:25" ht="4.95" customHeight="1" x14ac:dyDescent="0.3">
      <c r="B19" s="27"/>
      <c r="C19" s="12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60"/>
      <c r="W19" s="27"/>
      <c r="X19" s="27"/>
      <c r="Y19" s="30"/>
    </row>
    <row r="20" spans="2:25" s="14" customFormat="1" x14ac:dyDescent="0.3">
      <c r="B20" s="26">
        <v>4</v>
      </c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58"/>
      <c r="W20" s="26"/>
      <c r="X20" s="26"/>
      <c r="Y20" s="29">
        <v>0</v>
      </c>
    </row>
    <row r="21" spans="2:25" ht="4.95" customHeight="1" x14ac:dyDescent="0.3">
      <c r="B21" s="27"/>
      <c r="C21" s="12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60"/>
      <c r="W21" s="27"/>
      <c r="X21" s="27"/>
      <c r="Y21" s="30"/>
    </row>
    <row r="22" spans="2:25" s="14" customFormat="1" x14ac:dyDescent="0.3">
      <c r="B22" s="26">
        <v>5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58"/>
      <c r="W22" s="26"/>
      <c r="X22" s="26"/>
      <c r="Y22" s="29">
        <v>0</v>
      </c>
    </row>
    <row r="23" spans="2:25" ht="4.95" customHeight="1" x14ac:dyDescent="0.3">
      <c r="B23" s="27"/>
      <c r="C23" s="12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60"/>
      <c r="W23" s="27"/>
      <c r="X23" s="27"/>
      <c r="Y23" s="30"/>
    </row>
    <row r="24" spans="2:25" s="14" customFormat="1" x14ac:dyDescent="0.3">
      <c r="B24" s="26">
        <v>6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58"/>
      <c r="W24" s="26"/>
      <c r="X24" s="26"/>
      <c r="Y24" s="29">
        <v>0</v>
      </c>
    </row>
    <row r="25" spans="2:25" ht="4.95" customHeight="1" x14ac:dyDescent="0.3">
      <c r="B25" s="27"/>
      <c r="C25" s="12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60"/>
      <c r="W25" s="27"/>
      <c r="X25" s="27"/>
      <c r="Y25" s="30"/>
    </row>
    <row r="26" spans="2:25" s="14" customFormat="1" x14ac:dyDescent="0.3">
      <c r="B26" s="26">
        <v>7</v>
      </c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58"/>
      <c r="W26" s="26"/>
      <c r="X26" s="26"/>
      <c r="Y26" s="29">
        <v>0</v>
      </c>
    </row>
    <row r="27" spans="2:25" ht="4.95" customHeight="1" x14ac:dyDescent="0.3">
      <c r="B27" s="27"/>
      <c r="C27" s="12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60"/>
      <c r="W27" s="27"/>
      <c r="X27" s="27"/>
      <c r="Y27" s="30"/>
    </row>
    <row r="28" spans="2:25" s="14" customFormat="1" x14ac:dyDescent="0.3">
      <c r="B28" s="26">
        <v>8</v>
      </c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58"/>
      <c r="W28" s="26"/>
      <c r="X28" s="26"/>
      <c r="Y28" s="29">
        <v>0</v>
      </c>
    </row>
    <row r="29" spans="2:25" ht="4.95" customHeight="1" x14ac:dyDescent="0.3">
      <c r="B29" s="27"/>
      <c r="C29" s="12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60"/>
      <c r="W29" s="27"/>
      <c r="X29" s="27"/>
      <c r="Y29" s="30"/>
    </row>
    <row r="30" spans="2:25" s="14" customFormat="1" x14ac:dyDescent="0.3">
      <c r="B30" s="26">
        <v>9</v>
      </c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58"/>
      <c r="W30" s="26"/>
      <c r="X30" s="26"/>
      <c r="Y30" s="29">
        <v>0</v>
      </c>
    </row>
    <row r="31" spans="2:25" ht="4.95" customHeight="1" x14ac:dyDescent="0.3">
      <c r="B31" s="27"/>
      <c r="C31" s="12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60"/>
      <c r="W31" s="27"/>
      <c r="X31" s="27"/>
      <c r="Y31" s="30"/>
    </row>
    <row r="32" spans="2:25" s="14" customFormat="1" x14ac:dyDescent="0.3">
      <c r="B32" s="26">
        <v>10</v>
      </c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58"/>
      <c r="W32" s="26"/>
      <c r="X32" s="26"/>
      <c r="Y32" s="29">
        <v>0</v>
      </c>
    </row>
    <row r="33" spans="2:25" ht="4.95" customHeight="1" x14ac:dyDescent="0.3">
      <c r="B33" s="27"/>
      <c r="C33" s="12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60"/>
      <c r="W33" s="27"/>
      <c r="X33" s="27"/>
      <c r="Y33" s="30"/>
    </row>
    <row r="34" spans="2:25" s="14" customFormat="1" x14ac:dyDescent="0.3">
      <c r="B34" s="26">
        <v>11</v>
      </c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58"/>
      <c r="W34" s="26"/>
      <c r="X34" s="26"/>
      <c r="Y34" s="29">
        <v>0</v>
      </c>
    </row>
    <row r="35" spans="2:25" ht="4.95" customHeight="1" x14ac:dyDescent="0.3">
      <c r="B35" s="27"/>
      <c r="C35" s="12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60"/>
      <c r="W35" s="27"/>
      <c r="X35" s="27"/>
      <c r="Y35" s="30"/>
    </row>
    <row r="36" spans="2:25" s="14" customFormat="1" x14ac:dyDescent="0.3">
      <c r="B36" s="26">
        <v>12</v>
      </c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58"/>
      <c r="W36" s="26"/>
      <c r="X36" s="26"/>
      <c r="Y36" s="29">
        <v>0</v>
      </c>
    </row>
    <row r="37" spans="2:25" ht="4.95" customHeight="1" x14ac:dyDescent="0.3"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2:25" ht="4.95" customHeight="1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</row>
    <row r="39" spans="2:25" ht="37.950000000000003" customHeight="1" x14ac:dyDescent="0.3"/>
    <row r="45" spans="2:25" x14ac:dyDescent="0.3">
      <c r="B45" s="19" t="s">
        <v>210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ht="4.95" customHeight="1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2:25" ht="15" x14ac:dyDescent="0.3">
      <c r="B47" s="31"/>
      <c r="C47" s="43" t="s">
        <v>204</v>
      </c>
      <c r="D47" s="74">
        <f>IF(M14=C47,Y14) + IF(M16=C47,Y16) + IF(M18=C47,Y18) + IF(M20=C47,Y20) + IF(M22=C47,Y22) + IF(M24=C47,Y24) + IF(M26=C47,Y26) + IF(M28=C47,Y28) + IF(M30=C47,Y30) + IF(M32=C47,Y32) + IF(M34=C47,Y34) + IF(M36=C47,Y36)</f>
        <v>0</v>
      </c>
      <c r="E47" s="33"/>
      <c r="I47" s="18"/>
    </row>
    <row r="48" spans="2:25" ht="15" x14ac:dyDescent="0.3">
      <c r="B48" s="34"/>
      <c r="C48" s="44" t="s">
        <v>202</v>
      </c>
      <c r="D48" s="75">
        <f>IF(M14=C48,Y14) + IF(M16=C48,Y16) + IF(M18=C48,Y18) + IF(M20=C48,Y20) + IF(M22=C48,Y22) + IF(M24=C48,Y24) + IF(M26=C48,Y26) + IF(M28=C48,Y28) + IF(M30=C48,Y30) + IF(M32=C48,Y32) + IF(M34=C48,Y34) + IF(M36=C48,Y36)</f>
        <v>0</v>
      </c>
      <c r="E48" s="36"/>
      <c r="I48" s="18"/>
    </row>
    <row r="49" spans="2:9" ht="15" x14ac:dyDescent="0.3">
      <c r="B49" s="34"/>
      <c r="C49" s="44" t="s">
        <v>203</v>
      </c>
      <c r="D49" s="75">
        <f>IF(M14=C49,Y14) + IF(M16=C49,Y16) + IF(M18=C49,Y18) + IF(M20=C49,Y20) + IF(M22=C49,Y22) + IF(M24=C49,Y24) + IF(M26=C49,Y26) + IF(M28=C49,Y28) + IF(M30=C49,Y30) + IF(M32=C49,Y32) + IF(M34=C49,Y34) + IF(M36=C49,Y36)</f>
        <v>0</v>
      </c>
      <c r="E49" s="36"/>
      <c r="I49" s="18"/>
    </row>
    <row r="50" spans="2:9" ht="15" x14ac:dyDescent="0.3">
      <c r="B50" s="34"/>
      <c r="C50" s="44" t="s">
        <v>162</v>
      </c>
      <c r="D50" s="75">
        <f>IF(M14=C50,Y14) + IF(M16=C50,Y16) + IF(M18=C50,Y18) + IF(M20=C50,Y20) + IF(M22=C50,Y22) + IF(M24=C50,Y24) + IF(M26=C50,Y26) + IF(M28=C50,Y28) + IF(M30=C50,Y30) + IF(M32=C50,Y32) + IF(M34=C50,Y34) + IF(M36=C50,Y36)</f>
        <v>0</v>
      </c>
      <c r="E50" s="36"/>
      <c r="I50" s="18"/>
    </row>
    <row r="51" spans="2:9" ht="15" x14ac:dyDescent="0.3">
      <c r="B51" s="34"/>
      <c r="C51" s="44" t="s">
        <v>209</v>
      </c>
      <c r="D51" s="75">
        <f>IF(M14=C51,Y14) + IF(M16=C51,Y16) + IF(M18=C51,Y18) + IF(M20=C51,Y20) + IF(M22=C51,Y22) + IF(M24=C51,Y24) + IF(M26=C51,Y26) + IF(M28=C51,Y28) + IF(M30=C51,Y30) + IF(M32=C51,Y32) + IF(M34=C51,Y34) + IF(M36=C51,Y36)</f>
        <v>0</v>
      </c>
      <c r="E51" s="36"/>
    </row>
    <row r="52" spans="2:9" ht="15" x14ac:dyDescent="0.3">
      <c r="B52" s="34"/>
      <c r="C52" s="44" t="s">
        <v>127</v>
      </c>
      <c r="D52" s="75">
        <f>IF(M14=C52,Y14) + IF(M16=C52,Y16) + IF(M18=C52,Y18) + IF(M20=C52,Y20) + IF(M22=C52,Y22) + IF(M24=C52,Y24) + IF(M26=C52,Y26) + IF(M28=C52,Y28) + IF(M30=C52,Y30) + IF(M32=C52,Y32) + IF(M34=C52,Y34) + IF(M36=C52,Y36)</f>
        <v>0</v>
      </c>
      <c r="E52" s="36"/>
    </row>
    <row r="53" spans="2:9" ht="15" x14ac:dyDescent="0.3">
      <c r="B53" s="34"/>
      <c r="C53" s="44" t="s">
        <v>206</v>
      </c>
      <c r="D53" s="75">
        <f>IF(M14=C53,Y14) + IF(M16=C53,Y16) + IF(M18=C53,Y18) + IF(M20=C53,Y20) + IF(M22=C53,Y22) + IF(M24=C53,Y24) + IF(M26=C53,Y26) + IF(M28=C53,Y28) + IF(M30=C53,Y30) + IF(M32=C53,Y32) + IF(M34=C53,Y34) + IF(M36=C53,Y36)</f>
        <v>0</v>
      </c>
      <c r="E53" s="36"/>
    </row>
    <row r="54" spans="2:9" ht="15" x14ac:dyDescent="0.3">
      <c r="B54" s="37"/>
      <c r="C54" s="45" t="s">
        <v>207</v>
      </c>
      <c r="D54" s="76">
        <f>IF(M14=C54,Y14) + IF(M16=C54,Y16) + IF(M18=C54,Y18) + IF(M20=C54,Y20) + IF(M22=C54,Y22) + IF(M24=C54,Y24) + IF(M26=C54,Y26) + IF(M28=C54,Y28) + IF(M30=C54,Y30) + IF(M32=C54,Y32) + IF(M34=C54,Y34) + IF(M36=C54,Y36)</f>
        <v>0</v>
      </c>
      <c r="E54" s="39"/>
    </row>
    <row r="57" spans="2:9" ht="15" x14ac:dyDescent="0.3">
      <c r="B57" s="31"/>
      <c r="C57" s="43" t="s">
        <v>7</v>
      </c>
      <c r="D57" s="74">
        <f>IF(D14=C57,Y14) + IF(D16=C57,Y16) + IF(D18=C57,Y18) + IF(D20=C57,Y20) + IF(D22=C57,Y22) + IF(D24=C57,Y24) + IF(D26=C57,Y26) + IF(D28=C57,Y28) + IF(D30=C57,Y30) + IF(D32=C57,Y32) + IF(D34=C57,Y34) + IF(D36=C57,Y36)</f>
        <v>0</v>
      </c>
      <c r="E57" s="33"/>
    </row>
    <row r="58" spans="2:9" ht="15" x14ac:dyDescent="0.3">
      <c r="B58" s="34"/>
      <c r="C58" s="44" t="s">
        <v>6</v>
      </c>
      <c r="D58" s="75">
        <f>IF(D14=C58,Y14) + IF(D16=C58,Y16) + IF(D18=C58,Y18) + IF(D20=C58,Y20) + IF(D22=C58,Y22) + IF(D24=C58,Y24) + IF(D26=C58,Y26) + IF(D28=C58,Y28) + IF(D30=C58,Y30) + IF(D32=C58,Y32) + IF(D34=C58,Y34) + IF(D36=C58,Y36)</f>
        <v>0</v>
      </c>
      <c r="E58" s="36"/>
    </row>
    <row r="59" spans="2:9" ht="15" x14ac:dyDescent="0.3">
      <c r="B59" s="34"/>
      <c r="C59" s="44" t="s">
        <v>9</v>
      </c>
      <c r="D59" s="75">
        <f>IF(D14=C59,Y14) + IF(D16=C59,Y16) + IF(D18=C59,Y18) + IF(D20=C59,Y20) + IF(D22=C59,Y22) + IF(D24=C59,Y24) + IF(D26=C59,Y26) + IF(D28=C59,Y28) + IF(D30=C59,Y30) + IF(D32=C59,Y32) + IF(D34=C59,Y34) + IF(D36=C59,Y36)</f>
        <v>0</v>
      </c>
      <c r="E59" s="36"/>
    </row>
    <row r="60" spans="2:9" ht="15" x14ac:dyDescent="0.3">
      <c r="B60" s="37"/>
      <c r="C60" s="45" t="s">
        <v>8</v>
      </c>
      <c r="D60" s="76">
        <f>IF(D14=C60,Y14) + IF(D16=C60,Y16) + IF(D18=C60,Y18) + IF(D20=C60,Y20) + IF(D22=C60,Y22) + IF(D24=C60,Y24) + IF(D26=C60,Y26) + IF(D28=C60,Y28) + IF(D30=C60,Y30) + IF(D32=C60,Y32) + IF(D34=C60,Y34) + IF(D36=C60,Y36)</f>
        <v>13</v>
      </c>
      <c r="E60" s="39"/>
    </row>
    <row r="63" spans="2:9" ht="15" x14ac:dyDescent="0.3">
      <c r="B63" s="31"/>
      <c r="C63" s="32"/>
      <c r="D63" s="32"/>
      <c r="E63" s="32"/>
      <c r="F63" s="40" t="s">
        <v>253</v>
      </c>
      <c r="G63" s="74">
        <f>IF(F63=CONCATENATE(P14,":",S14),Y14)+IF(F63=CONCATENATE(P16,":",S16),Y16)+IF(F63=CONCATENATE(P18,":",S18),Y18)+IF(F63=CONCATENATE(P20,":",S20),Y20)+IF(F63=CONCATENATE(P22,":",S22),Y22)+IF(F63=CONCATENATE(P24,":",S24),Y24)+IF(F63=CONCATENATE(P26,":",S26),Y26)+IF(F63=CONCATENATE(P28,":",S28),Y28)+IF(F63=CONCATENATE(P30,":",S30),Y30)+IF(F63=CONCATENATE(P32,":",S32),Y32)+IF(F63=CONCATENATE(P34,":",S34),Y34)+IF(F63=CONCATENATE(P36,":",S36),Y36)+IF(F63=CONCATENATE(P36,":",S36),Y36)</f>
        <v>0</v>
      </c>
      <c r="H63" s="33"/>
    </row>
    <row r="64" spans="2:9" ht="15" x14ac:dyDescent="0.3">
      <c r="B64" s="34"/>
      <c r="C64" s="35"/>
      <c r="D64" s="35"/>
      <c r="E64" s="35"/>
      <c r="F64" s="41" t="s">
        <v>254</v>
      </c>
      <c r="G64" s="75">
        <f>IF(F64=CONCATENATE(P14,":",S14),Y14)+IF(F64=CONCATENATE(P16,":",S16),Y16)+IF(F64=CONCATENATE(P18,":",S18),Y18)+IF(F64=CONCATENATE(P20,":",S20),Y20)+IF(F64=CONCATENATE(P22,":",S22),Y22)+IF(F64=CONCATENATE(P24,":",S24),Y24)+IF(F64=CONCATENATE(P26,":",S26),Y26)+IF(F64=CONCATENATE(P28,":",S28),Y28)+IF(F64=CONCATENATE(P30,":",S30),Y30)+IF(F64=CONCATENATE(P32,":",S32),Y32)+IF(F64=CONCATENATE(P34,":",S34),Y34)+IF(F64=CONCATENATE(P36,":",S36),Y36)+IF(F64=CONCATENATE(P36,":",S36),Y36)</f>
        <v>0</v>
      </c>
      <c r="H64" s="36"/>
    </row>
    <row r="65" spans="2:8" ht="15" x14ac:dyDescent="0.3">
      <c r="B65" s="34"/>
      <c r="C65" s="35"/>
      <c r="D65" s="35"/>
      <c r="E65" s="35"/>
      <c r="F65" s="41" t="s">
        <v>255</v>
      </c>
      <c r="G65" s="75">
        <f>IF(F65=CONCATENATE(P14,":",S14),Y14)+IF(F65=CONCATENATE(P16,":",S16),Y16)+IF(F65=CONCATENATE(P18,":",S18),Y18)+IF(F65=CONCATENATE(P20,":",S20),Y20)+IF(F65=CONCATENATE(P22,":",S22),Y22)+IF(F65=CONCATENATE(P24,":",S24),Y24)+IF(F65=CONCATENATE(P26,":",S26),Y26)+IF(F65=CONCATENATE(P28,":",S28),Y28)+IF(F65=CONCATENATE(P30,":",S30),Y30)+IF(F65=CONCATENATE(P32,":",S32),Y32)+IF(F65=CONCATENATE(P34,":",S34),Y34)+IF(F65=CONCATENATE(P36,":",S36),Y36)+IF(F65=CONCATENATE(P36,":",S36),Y36)</f>
        <v>0</v>
      </c>
      <c r="H65" s="36"/>
    </row>
    <row r="66" spans="2:8" ht="15" x14ac:dyDescent="0.3">
      <c r="B66" s="34"/>
      <c r="C66" s="35"/>
      <c r="D66" s="35"/>
      <c r="E66" s="35"/>
      <c r="F66" s="41" t="s">
        <v>297</v>
      </c>
      <c r="G66" s="75">
        <f>IF(F66=CONCATENATE(P14,":",S14),Y14)+IF(F66=CONCATENATE(P16,":",S16),Y16)+IF(F66=CONCATENATE(P18,":",S18),Y18)+IF(F66=CONCATENATE(P20,":",S20),Y20)+IF(F66=CONCATENATE(P22,":",S22),Y22)+IF(F66=CONCATENATE(P24,":",S24),Y24)+IF(F66=CONCATENATE(P26,":",S26),Y26)+IF(F66=CONCATENATE(P28,":",S28),Y28)+IF(F66=CONCATENATE(P30,":",S30),Y30)+IF(F66=CONCATENATE(P32,":",S32),Y32)+IF(F66=CONCATENATE(P34,":",S34),Y34)+IF(F66=CONCATENATE(P36,":",S36),Y36)+IF(F66=CONCATENATE(P36,":",S36),Y36)</f>
        <v>0</v>
      </c>
      <c r="H66" s="36"/>
    </row>
    <row r="67" spans="2:8" s="64" customFormat="1" ht="15" x14ac:dyDescent="0.3">
      <c r="B67" s="68"/>
      <c r="C67" s="69"/>
      <c r="D67" s="69"/>
      <c r="E67" s="69"/>
      <c r="F67" s="41" t="s">
        <v>256</v>
      </c>
      <c r="G67" s="75">
        <f>IF(F67=CONCATENATE(P14,":",S14),Y14)+IF(F67=CONCATENATE(P16,":",S16),Y16)+IF(F67=CONCATENATE(P18,":",S18),Y18)+IF(F67=CONCATENATE(P20,":",S20),Y20)+IF(F67=CONCATENATE(P22,":",S22),Y22)+IF(F67=CONCATENATE(P24,":",S24),Y24)+IF(F67=CONCATENATE(P26,":",S26),Y26)+IF(F67=CONCATENATE(P28,":",S28),Y28)+IF(F67=CONCATENATE(P30,":",S30),Y30)+IF(F67=CONCATENATE(P32,":",S32),Y32)+IF(F67=CONCATENATE(P34,":",S34),Y34)+IF(F67=CONCATENATE(P36,":",S36),Y36)+IF(F67=CONCATENATE(P87,":",S38),Y38)</f>
        <v>0</v>
      </c>
      <c r="H67" s="70"/>
    </row>
    <row r="68" spans="2:8" ht="15" x14ac:dyDescent="0.3">
      <c r="B68" s="34"/>
      <c r="C68" s="35"/>
      <c r="D68" s="35"/>
      <c r="E68" s="35"/>
      <c r="F68" s="41" t="s">
        <v>257</v>
      </c>
      <c r="G68" s="75">
        <f>IF(F68=CONCATENATE(P14,":",S14),Y14)+IF(F68=CONCATENATE(P16,":",S16),Y16)+IF(F68=CONCATENATE(P18,":",S18),Y18)+IF(F68=CONCATENATE(P20,":",S20),Y20)+IF(F68=CONCATENATE(P22,":",S22),Y22)+IF(F68=CONCATENATE(P24,":",S24),Y24)+IF(F68=CONCATENATE(P26,":",S26),Y26)+IF(F68=CONCATENATE(P28,":",S28),Y28)+IF(F68=CONCATENATE(P30,":",S30),Y30)+IF(F68=CONCATENATE(P32,":",S32),Y32)+IF(F68=CONCATENATE(P34,":",S34),Y34)+IF(F68=CONCATENATE(P36,":",S36),Y36)+IF(F68=CONCATENATE(P36,":",S36),Y36)</f>
        <v>0</v>
      </c>
      <c r="H68" s="36"/>
    </row>
    <row r="69" spans="2:8" ht="15" x14ac:dyDescent="0.3">
      <c r="B69" s="34"/>
      <c r="C69" s="35"/>
      <c r="D69" s="35"/>
      <c r="E69" s="35"/>
      <c r="F69" s="41" t="s">
        <v>258</v>
      </c>
      <c r="G69" s="75">
        <f>IF(F69=CONCATENATE(P14,":",S14),Y14)+IF(F69=CONCATENATE(P16,":",S16),Y16)+IF(F69=CONCATENATE(P18,":",S18),Y18)+IF(F69=CONCATENATE(P20,":",S20),Y20)+IF(F69=CONCATENATE(P22,":",S22),Y22)+IF(F69=CONCATENATE(P24,":",S24),Y24)+IF(F69=CONCATENATE(P26,":",S26),Y26)+IF(F69=CONCATENATE(P28,":",S28),Y28)+IF(F69=CONCATENATE(P30,":",S30),Y30)+IF(F69=CONCATENATE(P32,":",S32),Y32)+IF(F69=CONCATENATE(P34,":",S34),Y34)+IF(F69=CONCATENATE(P36,":",S36),Y36)+IF(F69=CONCATENATE(P36,":",S36),Y36)</f>
        <v>0</v>
      </c>
      <c r="H69" s="36"/>
    </row>
    <row r="70" spans="2:8" ht="15" x14ac:dyDescent="0.3">
      <c r="B70" s="34"/>
      <c r="C70" s="35"/>
      <c r="D70" s="35"/>
      <c r="E70" s="35"/>
      <c r="F70" s="41" t="s">
        <v>259</v>
      </c>
      <c r="G70" s="75">
        <f>IF(F70=CONCATENATE(P14,":",S14),Y14)+IF(F70=CONCATENATE(P16,":",S16),Y16)+IF(F70=CONCATENATE(P18,":",S18),Y18)+IF(F70=CONCATENATE(P20,":",S20),Y20)+IF(F70=CONCATENATE(P22,":",S22),Y22)+IF(F70=CONCATENATE(P24,":",S24),Y24)+IF(F70=CONCATENATE(P26,":",S26),Y26)+IF(F70=CONCATENATE(P28,":",S28),Y28)+IF(F70=CONCATENATE(P30,":",S30),Y30)+IF(F70=CONCATENATE(P32,":",S32),Y32)+IF(F70=CONCATENATE(P34,":",S34),Y34)+IF(F70=CONCATENATE(P36,":",S36),Y36)+IF(F70=CONCATENATE(P36,":",S36),Y36)</f>
        <v>0</v>
      </c>
      <c r="H70" s="36"/>
    </row>
    <row r="71" spans="2:8" ht="15" x14ac:dyDescent="0.3">
      <c r="B71" s="34"/>
      <c r="C71" s="35"/>
      <c r="D71" s="35"/>
      <c r="E71" s="35"/>
      <c r="F71" s="41" t="s">
        <v>260</v>
      </c>
      <c r="G71" s="75">
        <f>IF(F71=CONCATENATE(P14,":",S14),Y14)+IF(F71=CONCATENATE(P16,":",S16),Y16)+IF(F71=CONCATENATE(P18,":",S18),Y18)+IF(F71=CONCATENATE(P20,":",S20),Y20)+IF(F71=CONCATENATE(P22,":",S22),Y22)+IF(F71=CONCATENATE(P24,":",S24),Y24)+IF(F71=CONCATENATE(P26,":",S26),Y26)+IF(F71=CONCATENATE(P28,":",S28),Y28)+IF(F71=CONCATENATE(P30,":",S30),Y30)+IF(F71=CONCATENATE(P32,":",S32),Y32)+IF(F71=CONCATENATE(P34,":",S34),Y34)+IF(F71=CONCATENATE(P36,":",S36),Y36)+IF(F71=CONCATENATE(P36,":",S36),Y36)</f>
        <v>0</v>
      </c>
      <c r="H71" s="36"/>
    </row>
    <row r="72" spans="2:8" ht="15" x14ac:dyDescent="0.3">
      <c r="B72" s="34"/>
      <c r="C72" s="35"/>
      <c r="D72" s="35"/>
      <c r="E72" s="35"/>
      <c r="F72" s="41" t="s">
        <v>261</v>
      </c>
      <c r="G72" s="75">
        <f>IF(F72=CONCATENATE(P14,":",S14),Y14)+IF(F72=CONCATENATE(P16,":",S16),Y16)+IF(F72=CONCATENATE(P18,":",S18),Y18)+IF(F72=CONCATENATE(P20,":",S20),Y20)+IF(F72=CONCATENATE(P22,":",S22),Y22)+IF(F72=CONCATENATE(P24,":",S24),Y24)+IF(F72=CONCATENATE(P26,":",S26),Y26)+IF(F72=CONCATENATE(P28,":",S28),Y28)+IF(F72=CONCATENATE(P30,":",S30),Y30)+IF(F72=CONCATENATE(P32,":",S32),Y32)+IF(F72=CONCATENATE(P34,":",S34),Y34)+IF(F72=CONCATENATE(P36,":",S36),Y36)+IF(F72=CONCATENATE(P36,":",S36),Y36)</f>
        <v>0</v>
      </c>
      <c r="H72" s="36"/>
    </row>
    <row r="73" spans="2:8" ht="15" x14ac:dyDescent="0.3">
      <c r="B73" s="34"/>
      <c r="C73" s="35"/>
      <c r="D73" s="35"/>
      <c r="E73" s="35"/>
      <c r="F73" s="41" t="s">
        <v>262</v>
      </c>
      <c r="G73" s="75">
        <f>IF(F73=CONCATENATE(P14,":",S14),Y14)+IF(F73=CONCATENATE(P16,":",S16),Y16)+IF(F73=CONCATENATE(P18,":",S18),Y18)+IF(F73=CONCATENATE(P20,":",S20),Y20)+IF(F73=CONCATENATE(P22,":",S22),Y22)+IF(F73=CONCATENATE(P24,":",S24),Y24)+IF(F73=CONCATENATE(P26,":",S26),Y26)+IF(F73=CONCATENATE(P28,":",S28),Y28)+IF(F73=CONCATENATE(P30,":",S30),Y30)+IF(F73=CONCATENATE(P32,":",S32),Y32)+IF(F73=CONCATENATE(P34,":",S34),Y34)+IF(F73=CONCATENATE(P36,":",S36),Y36)+IF(F73=CONCATENATE(P36,":",S36),Y36)</f>
        <v>0</v>
      </c>
      <c r="H73" s="36"/>
    </row>
    <row r="74" spans="2:8" ht="15" x14ac:dyDescent="0.3">
      <c r="B74" s="34"/>
      <c r="C74" s="35"/>
      <c r="D74" s="35"/>
      <c r="E74" s="35"/>
      <c r="F74" s="41" t="s">
        <v>263</v>
      </c>
      <c r="G74" s="75">
        <f>IF(F74=CONCATENATE(P14,":",S14),Y14)+IF(F74=CONCATENATE(P16,":",S16),Y16)+IF(F74=CONCATENATE(P18,":",S18),Y18)+IF(F74=CONCATENATE(P20,":",S20),Y20)+IF(F74=CONCATENATE(P22,":",S22),Y22)+IF(F74=CONCATENATE(P24,":",S24),Y24)+IF(F74=CONCATENATE(P26,":",S26),Y26)+IF(F74=CONCATENATE(P28,":",S28),Y28)+IF(F74=CONCATENATE(P30,":",S30),Y30)+IF(F74=CONCATENATE(P32,":",S32),Y32)+IF(F74=CONCATENATE(P34,":",S34),Y34)+IF(F74=CONCATENATE(P36,":",S36),Y36)+IF(F74=CONCATENATE(P36,":",S36),Y36)</f>
        <v>0</v>
      </c>
      <c r="H74" s="36"/>
    </row>
    <row r="75" spans="2:8" ht="15" x14ac:dyDescent="0.3">
      <c r="B75" s="34"/>
      <c r="C75" s="35"/>
      <c r="D75" s="35"/>
      <c r="E75" s="35"/>
      <c r="F75" s="41" t="s">
        <v>264</v>
      </c>
      <c r="G75" s="75">
        <f>IF(F75=CONCATENATE(P14,":",S14),Y14)+IF(F75=CONCATENATE(P16,":",S16),Y16)+IF(F75=CONCATENATE(P18,":",S18),Y18)+IF(F75=CONCATENATE(P20,":",S20),Y20)+IF(F75=CONCATENATE(P22,":",S22),Y22)+IF(F75=CONCATENATE(P24,":",S24),Y24)+IF(F75=CONCATENATE(P26,":",S26),Y26)+IF(F75=CONCATENATE(P28,":",S28),Y28)+IF(F75=CONCATENATE(P30,":",S30),Y30)+IF(F75=CONCATENATE(P32,":",S32),Y32)+IF(F75=CONCATENATE(P34,":",S34),Y34)+IF(F75=CONCATENATE(P36,":",S36),Y36)+IF(F75=CONCATENATE(P36,":",S36),Y36)</f>
        <v>0</v>
      </c>
      <c r="H75" s="36"/>
    </row>
    <row r="76" spans="2:8" ht="15" x14ac:dyDescent="0.3">
      <c r="B76" s="34"/>
      <c r="C76" s="35"/>
      <c r="D76" s="35"/>
      <c r="E76" s="35"/>
      <c r="F76" s="41" t="s">
        <v>265</v>
      </c>
      <c r="G76" s="75">
        <f>IF(F76=CONCATENATE(P14,":",S14),Y14)+IF(F76=CONCATENATE(P16,":",S16),Y16)+IF(F76=CONCATENATE(P18,":",S18),Y18)+IF(F76=CONCATENATE(P20,":",S20),Y20)+IF(F76=CONCATENATE(P22,":",S22),Y22)+IF(F76=CONCATENATE(P24,":",S24),Y24)+IF(F76=CONCATENATE(P26,":",S26),Y26)+IF(F76=CONCATENATE(P28,":",S28),Y28)+IF(F76=CONCATENATE(P30,":",S30),Y30)+IF(F76=CONCATENATE(P32,":",S32),Y32)+IF(F76=CONCATENATE(P34,":",S34),Y34)+IF(F76=CONCATENATE(P36,":",S36),Y36)+IF(F76=CONCATENATE(P36,":",S36),Y36)</f>
        <v>0</v>
      </c>
      <c r="H76" s="36"/>
    </row>
    <row r="77" spans="2:8" ht="15" x14ac:dyDescent="0.3">
      <c r="B77" s="34"/>
      <c r="C77" s="35"/>
      <c r="D77" s="35"/>
      <c r="E77" s="35"/>
      <c r="F77" s="41" t="s">
        <v>266</v>
      </c>
      <c r="G77" s="75">
        <f>IF(F77=CONCATENATE(P14,":",S14),Y14)+IF(F77=CONCATENATE(P16,":",S16),Y16)+IF(F77=CONCATENATE(P18,":",S18),Y18)+IF(F77=CONCATENATE(P20,":",S20),Y20)+IF(F77=CONCATENATE(P22,":",S22),Y22)+IF(F77=CONCATENATE(P24,":",S24),Y24)+IF(F77=CONCATENATE(P26,":",S26),Y26)+IF(F77=CONCATENATE(P28,":",S28),Y28)+IF(F77=CONCATENATE(P30,":",S30),Y30)+IF(F77=CONCATENATE(P32,":",S32),Y32)+IF(F77=CONCATENATE(P34,":",S34),Y34)+IF(F77=CONCATENATE(P36,":",S36),Y36)+IF(F77=CONCATENATE(P36,":",S36),Y36)</f>
        <v>0</v>
      </c>
      <c r="H77" s="36"/>
    </row>
    <row r="78" spans="2:8" ht="15" x14ac:dyDescent="0.3">
      <c r="B78" s="34"/>
      <c r="C78" s="35"/>
      <c r="D78" s="35"/>
      <c r="E78" s="35"/>
      <c r="F78" s="41" t="s">
        <v>267</v>
      </c>
      <c r="G78" s="75">
        <f>IF(F78=CONCATENATE(P14,":",S14),Y14)+IF(F78=CONCATENATE(P16,":",S16),Y16)+IF(F78=CONCATENATE(P18,":",S18),Y18)+IF(F78=CONCATENATE(P20,":",S20),Y20)+IF(F78=CONCATENATE(P22,":",S22),Y22)+IF(F78=CONCATENATE(P24,":",S24),Y24)+IF(F78=CONCATENATE(P26,":",S26),Y26)+IF(F78=CONCATENATE(P28,":",S28),Y28)+IF(F78=CONCATENATE(P30,":",S30),Y30)+IF(F78=CONCATENATE(P32,":",S32),Y32)+IF(F78=CONCATENATE(P34,":",S34),Y34)+IF(F78=CONCATENATE(P36,":",S36),Y36)+IF(F78=CONCATENATE(P36,":",S36),Y36)</f>
        <v>0</v>
      </c>
      <c r="H78" s="36"/>
    </row>
    <row r="79" spans="2:8" ht="15" x14ac:dyDescent="0.3">
      <c r="B79" s="34"/>
      <c r="C79" s="35"/>
      <c r="D79" s="35"/>
      <c r="E79" s="35"/>
      <c r="F79" s="41" t="s">
        <v>268</v>
      </c>
      <c r="G79" s="75">
        <f>IF(F79=CONCATENATE(P14,":",S14),Y14)+IF(F79=CONCATENATE(P16,":",S16),Y16)+IF(F79=CONCATENATE(P18,":",S18),Y18)+IF(F79=CONCATENATE(P20,":",S20),Y20)+IF(F79=CONCATENATE(P22,":",S22),Y22)+IF(F79=CONCATENATE(P24,":",S24),Y24)+IF(F79=CONCATENATE(P26,":",S26),Y26)+IF(F79=CONCATENATE(P28,":",S28),Y28)+IF(F79=CONCATENATE(P30,":",S30),Y30)+IF(F79=CONCATENATE(P32,":",S32),Y32)+IF(F79=CONCATENATE(P34,":",S34),Y34)+IF(F79=CONCATENATE(P36,":",S36),Y36)+IF(F79=CONCATENATE(P36,":",S36),Y36)</f>
        <v>0</v>
      </c>
      <c r="H79" s="36"/>
    </row>
    <row r="80" spans="2:8" ht="15" x14ac:dyDescent="0.3">
      <c r="B80" s="34"/>
      <c r="C80" s="35"/>
      <c r="D80" s="35"/>
      <c r="E80" s="35"/>
      <c r="F80" s="41" t="s">
        <v>269</v>
      </c>
      <c r="G80" s="75">
        <f>IF(F80=CONCATENATE(P14,":",S14),Y14)+IF(F80=CONCATENATE(P16,":",S16),Y16)+IF(F80=CONCATENATE(P18,":",S18),Y18)+IF(F80=CONCATENATE(P20,":",S20),Y20)+IF(F80=CONCATENATE(P22,":",S22),Y22)+IF(F80=CONCATENATE(P24,":",S24),Y24)+IF(F80=CONCATENATE(P26,":",S26),Y26)+IF(F80=CONCATENATE(P28,":",S28),Y28)+IF(F80=CONCATENATE(P30,":",S30),Y30)+IF(F80=CONCATENATE(P32,":",S32),Y32)+IF(F80=CONCATENATE(P34,":",S34),Y34)+IF(F80=CONCATENATE(P36,":",S36),Y36)+IF(F80=CONCATENATE(P36,":",S36),Y36)</f>
        <v>0</v>
      </c>
      <c r="H80" s="36"/>
    </row>
    <row r="81" spans="2:8" ht="15" x14ac:dyDescent="0.3">
      <c r="B81" s="34"/>
      <c r="C81" s="35"/>
      <c r="D81" s="35"/>
      <c r="E81" s="35"/>
      <c r="F81" s="41" t="s">
        <v>270</v>
      </c>
      <c r="G81" s="75">
        <f>IF(F81=CONCATENATE(P14,":",S14),Y14)+IF(F81=CONCATENATE(P16,":",S16),Y16)+IF(F81=CONCATENATE(P18,":",S18),Y18)+IF(F81=CONCATENATE(P20,":",S20),Y20)+IF(F81=CONCATENATE(P22,":",S22),Y22)+IF(F81=CONCATENATE(P24,":",S24),Y24)+IF(F81=CONCATENATE(P26,":",S26),Y26)+IF(F81=CONCATENATE(P28,":",S28),Y28)+IF(F81=CONCATENATE(P30,":",S30),Y30)+IF(F81=CONCATENATE(P32,":",S32),Y32)+IF(F81=CONCATENATE(P34,":",S34),Y34)+IF(F81=CONCATENATE(P36,":",S36),Y36)+IF(F81=CONCATENATE(P36,":",S36),Y36)</f>
        <v>0</v>
      </c>
      <c r="H81" s="36"/>
    </row>
    <row r="82" spans="2:8" ht="15" x14ac:dyDescent="0.3">
      <c r="B82" s="34"/>
      <c r="C82" s="35"/>
      <c r="D82" s="35"/>
      <c r="E82" s="35"/>
      <c r="F82" s="41" t="s">
        <v>271</v>
      </c>
      <c r="G82" s="75">
        <f>IF(F82=CONCATENATE(P14,":",S14),Y14)+IF(F82=CONCATENATE(P16,":",S16),Y16)+IF(F82=CONCATENATE(P18,":",S18),Y18)+IF(F82=CONCATENATE(P20,":",S20),Y20)+IF(F82=CONCATENATE(P22,":",S22),Y22)+IF(F82=CONCATENATE(P24,":",S24),Y24)+IF(F82=CONCATENATE(P26,":",S26),Y26)+IF(F82=CONCATENATE(P28,":",S28),Y28)+IF(F82=CONCATENATE(P30,":",S30),Y30)+IF(F82=CONCATENATE(P32,":",S32),Y32)+IF(F82=CONCATENATE(P34,":",S34),Y34)+IF(F82=CONCATENATE(P36,":",S36),Y36)+IF(F82=CONCATENATE(P36,":",S36),Y36)</f>
        <v>0</v>
      </c>
      <c r="H82" s="36"/>
    </row>
    <row r="83" spans="2:8" ht="15" x14ac:dyDescent="0.3">
      <c r="B83" s="34"/>
      <c r="C83" s="35"/>
      <c r="D83" s="35"/>
      <c r="E83" s="35"/>
      <c r="F83" s="41" t="s">
        <v>272</v>
      </c>
      <c r="G83" s="75">
        <f>IF(F83=CONCATENATE(P14,":",S14),Y14)+IF(F83=CONCATENATE(P16,":",S16),Y16)+IF(F83=CONCATENATE(P18,":",S18),Y18)+IF(F83=CONCATENATE(P20,":",S20),Y20)+IF(F83=CONCATENATE(P22,":",S22),Y22)+IF(F83=CONCATENATE(P24,":",S24),Y24)+IF(F83=CONCATENATE(P26,":",S26),Y26)+IF(F83=CONCATENATE(P28,":",S28),Y28)+IF(F83=CONCATENATE(P30,":",S30),Y30)+IF(F83=CONCATENATE(P32,":",S32),Y32)+IF(F83=CONCATENATE(P34,":",S34),Y34)+IF(F83=CONCATENATE(P36,":",S36),Y36)+IF(F83=CONCATENATE(P36,":",S36),Y36)</f>
        <v>0</v>
      </c>
      <c r="H83" s="36"/>
    </row>
    <row r="84" spans="2:8" ht="15" x14ac:dyDescent="0.3">
      <c r="B84" s="34"/>
      <c r="C84" s="35"/>
      <c r="D84" s="35"/>
      <c r="E84" s="35"/>
      <c r="F84" s="41" t="s">
        <v>273</v>
      </c>
      <c r="G84" s="75">
        <f>IF(F84=CONCATENATE(P14,":",S14),Y14)+IF(F84=CONCATENATE(P16,":",S16),Y16)+IF(F84=CONCATENATE(P18,":",S18),Y18)+IF(F84=CONCATENATE(P20,":",S20),Y20)+IF(F84=CONCATENATE(P22,":",S22),Y22)+IF(F84=CONCATENATE(P24,":",S24),Y24)+IF(F84=CONCATENATE(P26,":",S26),Y26)+IF(F84=CONCATENATE(P28,":",S28),Y28)+IF(F84=CONCATENATE(P30,":",S30),Y30)+IF(F84=CONCATENATE(P32,":",S32),Y32)+IF(F84=CONCATENATE(P34,":",S34),Y34)+IF(F84=CONCATENATE(P36,":",S36),Y36)+IF(F84=CONCATENATE(P36,":",S36),Y36)</f>
        <v>0</v>
      </c>
      <c r="H84" s="36"/>
    </row>
    <row r="85" spans="2:8" ht="15" x14ac:dyDescent="0.3">
      <c r="B85" s="34"/>
      <c r="C85" s="35"/>
      <c r="D85" s="35"/>
      <c r="E85" s="35"/>
      <c r="F85" s="41" t="s">
        <v>274</v>
      </c>
      <c r="G85" s="75">
        <f>IF(F85=CONCATENATE(P14,":",S14),Y14)+IF(F85=CONCATENATE(P16,":",S16),Y16)+IF(F85=CONCATENATE(P18,":",S18),Y18)+IF(F85=CONCATENATE(P20,":",S20),Y20)+IF(F85=CONCATENATE(P22,":",S22),Y22)+IF(F85=CONCATENATE(P24,":",S24),Y24)+IF(F85=CONCATENATE(P26,":",S26),Y26)+IF(F85=CONCATENATE(P28,":",S28),Y28)+IF(F85=CONCATENATE(P30,":",S30),Y30)+IF(F85=CONCATENATE(P32,":",S32),Y32)+IF(F85=CONCATENATE(P34,":",S34),Y34)+IF(F85=CONCATENATE(P36,":",S36),Y36)+IF(F85=CONCATENATE(P36,":",S36),Y36)</f>
        <v>0</v>
      </c>
      <c r="H85" s="36"/>
    </row>
    <row r="86" spans="2:8" ht="15" x14ac:dyDescent="0.3">
      <c r="B86" s="37"/>
      <c r="C86" s="38"/>
      <c r="D86" s="38"/>
      <c r="E86" s="38"/>
      <c r="F86" s="42" t="s">
        <v>275</v>
      </c>
      <c r="G86" s="76">
        <f>IF(F86=CONCATENATE(P14,":",S14),Y14)+IF(F86=CONCATENATE(P16,":",S16),Y16)+IF(F86=CONCATENATE(P18,":",S18),Y18)+IF(F86=CONCATENATE(P20,":",S20),Y20)+IF(F86=CONCATENATE(P22,":",S22),Y22)+IF(F86=CONCATENATE(P24,":",S24),Y24)+IF(F86=CONCATENATE(P26,":",S26),Y26)+IF(F86=CONCATENATE(P28,":",S28),Y28)+IF(F86=CONCATENATE(P30,":",S30),Y30)+IF(F86=CONCATENATE(P32,":",S32),Y32)+IF(F86=CONCATENATE(P34,":",S34),Y34)+IF(F86=CONCATENATE(P36,":",S36),Y36)+IF(F86=CONCATENATE(P36,":",S36),Y36)</f>
        <v>0</v>
      </c>
      <c r="H86" s="39"/>
    </row>
    <row r="89" spans="2:8" s="64" customFormat="1" ht="15" x14ac:dyDescent="0.3">
      <c r="B89" s="65"/>
      <c r="C89" s="66"/>
      <c r="D89" s="66"/>
      <c r="E89" s="66"/>
      <c r="F89" s="78" t="s">
        <v>291</v>
      </c>
      <c r="G89" s="74">
        <f>IF( F89=CONCATENATE(G14,":",J14),Y14)+IF( F89=CONCATENATE(G16,":",J16),Y16)+IF( F89=CONCATENATE(G18,":",J18),Y18)+IF( F89=CONCATENATE(G20,":",J20),Y20)+IF( F89=CONCATENATE(G22,":",J22),Y22)+IF( F89=CONCATENATE(G24,":",J24),Y24)+IF( F89=CONCATENATE(G26,":",J26),Y26)+IF( F89=CONCATENATE(G28,":",J28),Y28)+IF( F89=CONCATENATE(P30,":",S30),Y30)+IF( F89=CONCATENATE(P32,":",S32),Y32)+IF( F89=CONCATENATE(P34,":",S34),Y34)+IF( F89=CONCATENATE(P36,":",S36),Y36)</f>
        <v>0</v>
      </c>
      <c r="H89" s="67"/>
    </row>
    <row r="90" spans="2:8" s="64" customFormat="1" ht="15" x14ac:dyDescent="0.3">
      <c r="B90" s="68"/>
      <c r="C90" s="69"/>
      <c r="D90" s="69"/>
      <c r="E90" s="69"/>
      <c r="F90" s="77" t="s">
        <v>221</v>
      </c>
      <c r="G90" s="79">
        <f>IF( F90=CONCATENATE(G14,":",J14),Y14)+IF( F90=CONCATENATE(G16,":",J16),Y16)+IF( F90=CONCATENATE(G18,":",J18),Y18)+IF( F90=CONCATENATE(G20,":",J20),Y20)+IF( F90=CONCATENATE(G22,":",J22),Y22)+IF( F90=CONCATENATE(G24,":",J24),Y24)+IF( F90=CONCATENATE(G26,":",J26),Y26)+IF( F90=CONCATENATE(G28,":",J28),Y28)+IF( F90=CONCATENATE(P30,":",S30),Y30)+IF( F90=CONCATENATE(P32,":",S32),Y32)+IF( F90=CONCATENATE(P34,":",S34),Y34)+IF( F90=CONCATENATE(P36,":",S36),Y36)</f>
        <v>0</v>
      </c>
      <c r="H90" s="70"/>
    </row>
    <row r="91" spans="2:8" s="64" customFormat="1" ht="15" x14ac:dyDescent="0.3">
      <c r="B91" s="68"/>
      <c r="C91" s="69"/>
      <c r="D91" s="69"/>
      <c r="E91" s="69"/>
      <c r="F91" s="77" t="s">
        <v>281</v>
      </c>
      <c r="G91" s="79">
        <f>IF( F91=CONCATENATE(G14,":",J14),Y14)+IF( F91=CONCATENATE(G16,":",J16),Y16)+IF( F91=CONCATENATE(G18,":",J18),Y18)+IF( F91=CONCATENATE(G20,":",J20),Y20)+IF( F91=CONCATENATE(G22,":",J22),Y22)+IF( F91=CONCATENATE(G24,":",J24),Y24)+IF( F91=CONCATENATE(G26,":",J26),Y26)+IF( F91=CONCATENATE(G28,":",J28),Y28)+IF( F91=CONCATENATE(P30,":",S30),Y30)+IF( F91=CONCATENATE(P32,":",S32),Y32)+IF( F91=CONCATENATE(P34,":",S34),Y34)+IF( F91=CONCATENATE(P36,":",S36),Y36)</f>
        <v>0</v>
      </c>
      <c r="H91" s="70"/>
    </row>
    <row r="92" spans="2:8" s="64" customFormat="1" ht="15" x14ac:dyDescent="0.3">
      <c r="B92" s="68"/>
      <c r="C92" s="69"/>
      <c r="D92" s="69"/>
      <c r="E92" s="69"/>
      <c r="F92" s="77" t="s">
        <v>222</v>
      </c>
      <c r="G92" s="79">
        <f>IF( F92=CONCATENATE(G14,":",J14),Y14)+IF( F92=CONCATENATE(G16,":",J16),Y16)+IF( F92=CONCATENATE(G18,":",J18),Y18)+IF( F92=CONCATENATE(G20,":",J20),Y20)+IF( F92=CONCATENATE(G22,":",J22),Y22)+IF( F92=CONCATENATE(G24,":",J24),Y24)+IF( F92=CONCATENATE(G26,":",J26),Y26)+IF( F92=CONCATENATE(G28,":",J28),Y28)+IF( F92=CONCATENATE(P30,":",S30),Y30)+IF( F92=CONCATENATE(P32,":",S32),Y32)+IF( F92=CONCATENATE(P34,":",S34),Y34)+IF( F92=CONCATENATE(P36,":",S36),Y36)</f>
        <v>0</v>
      </c>
      <c r="H92" s="70"/>
    </row>
    <row r="93" spans="2:8" s="64" customFormat="1" ht="15" x14ac:dyDescent="0.3">
      <c r="B93" s="68"/>
      <c r="C93" s="69"/>
      <c r="D93" s="69"/>
      <c r="E93" s="69"/>
      <c r="F93" s="77" t="s">
        <v>223</v>
      </c>
      <c r="G93" s="79">
        <f>IF( F93=CONCATENATE(G14,":",J14),Y14)+IF( F93=CONCATENATE(G16,":",J16),Y16)+IF( F93=CONCATENATE(G18,":",J18),Y18)+IF( F93=CONCATENATE(G20,":",J20),Y20)+IF( F93=CONCATENATE(G22,":",J22),Y22)+IF( F93=CONCATENATE(G24,":",J24),Y24)+IF( F93=CONCATENATE(G26,":",J26),Y26)+IF( F93=CONCATENATE(G28,":",J28),Y28)+IF( F93=CONCATENATE(P30,":",S30),Y30)+IF( F93=CONCATENATE(P32,":",S32),Y32)+IF( F93=CONCATENATE(P34,":",S34),Y34)+IF( F93=CONCATENATE(P36,":",S36),Y36)</f>
        <v>0</v>
      </c>
      <c r="H93" s="70"/>
    </row>
    <row r="94" spans="2:8" s="64" customFormat="1" ht="15" x14ac:dyDescent="0.3">
      <c r="B94" s="68"/>
      <c r="C94" s="69"/>
      <c r="D94" s="69"/>
      <c r="E94" s="69"/>
      <c r="F94" s="77" t="s">
        <v>224</v>
      </c>
      <c r="G94" s="79">
        <f>IF( F94=CONCATENATE(G14,":",J14),Y14)+IF( F94=CONCATENATE(G16,":",J16),Y16)+IF( F94=CONCATENATE(G18,":",J18),Y18)+IF( F94=CONCATENATE(G20,":",J20),Y20)+IF( F94=CONCATENATE(G22,":",J22),Y22)+IF( F94=CONCATENATE(G24,":",J24),Y24)+IF( F94=CONCATENATE(G26,":",J26),Y26)+IF( F94=CONCATENATE(G28,":",J28),Y28)+IF( F94=CONCATENATE(P30,":",S30),Y30)+IF( F94=CONCATENATE(P32,":",S32),Y32)+IF( F94=CONCATENATE(P34,":",S34),Y34)+IF( F94=CONCATENATE(P36,":",S36),Y36)</f>
        <v>0</v>
      </c>
      <c r="H94" s="70"/>
    </row>
    <row r="95" spans="2:8" s="64" customFormat="1" ht="15" x14ac:dyDescent="0.3">
      <c r="B95" s="68"/>
      <c r="C95" s="69"/>
      <c r="D95" s="69"/>
      <c r="E95" s="69"/>
      <c r="F95" s="77" t="s">
        <v>225</v>
      </c>
      <c r="G95" s="79">
        <f>IF( F95=CONCATENATE(G14,":",J14),Y14)+IF( F95=CONCATENATE(G16,":",J16),Y16)+IF( F95=CONCATENATE(G18,":",J18),Y18)+IF( F95=CONCATENATE(G20,":",J20),Y20)+IF( F95=CONCATENATE(G22,":",J22),Y22)+IF( F95=CONCATENATE(G24,":",J24),Y24)+IF( F95=CONCATENATE(G26,":",J26),Y26)+IF( F95=CONCATENATE(G28,":",J28),Y28)+IF( F95=CONCATENATE(P30,":",S30),Y30)+IF( F95=CONCATENATE(P32,":",S32),Y32)+IF( F95=CONCATENATE(P34,":",S34),Y34)+IF( F95=CONCATENATE(P36,":",S36),Y36)</f>
        <v>0</v>
      </c>
      <c r="H95" s="70"/>
    </row>
    <row r="96" spans="2:8" s="64" customFormat="1" ht="15" x14ac:dyDescent="0.3">
      <c r="B96" s="68"/>
      <c r="C96" s="69"/>
      <c r="D96" s="69"/>
      <c r="E96" s="69"/>
      <c r="F96" s="77" t="s">
        <v>226</v>
      </c>
      <c r="G96" s="79">
        <f>IF( F96=CONCATENATE(G14,":",J14),Y14)+IF( F96=CONCATENATE(G16,":",J16),Y16)+IF( F96=CONCATENATE(G18,":",J18),Y18)+IF( F96=CONCATENATE(G20,":",J20),Y20)+IF( F96=CONCATENATE(G22,":",J22),Y22)+IF( F96=CONCATENATE(G24,":",J24),Y24)+IF( F96=CONCATENATE(G26,":",J26),Y26)+IF( F96=CONCATENATE(G28,":",J28),Y28)+IF( F96=CONCATENATE(P30,":",S30),Y30)+IF( F96=CONCATENATE(P32,":",S32),Y32)+IF( F96=CONCATENATE(P34,":",S34),Y34)+IF( F96=CONCATENATE(P36,":",S36),Y36)</f>
        <v>0</v>
      </c>
      <c r="H96" s="70"/>
    </row>
    <row r="97" spans="2:8" s="64" customFormat="1" ht="15" x14ac:dyDescent="0.3">
      <c r="B97" s="68"/>
      <c r="C97" s="69"/>
      <c r="D97" s="69"/>
      <c r="E97" s="69"/>
      <c r="F97" s="77" t="s">
        <v>309</v>
      </c>
      <c r="G97" s="79">
        <f>IF( F97=CONCATENATE(G14,":",J14),Y14)+IF( F97=CONCATENATE(G16,":",J16),Y16)+IF( F97=CONCATENATE(G18,":",J18),Y18)+IF( F97=CONCATENATE(G20,":",J20),Y20)+IF( F97=CONCATENATE(G22,":",J22),Y22)+IF( F97=CONCATENATE(G24,":",J24),Y24)+IF( F97=CONCATENATE(G26,":",J26),Y26)+IF( F97=CONCATENATE(G28,":",J28),Y28)+IF( F97=CONCATENATE(P30,":",S30),Y30)+IF( F97=CONCATENATE(P32,":",S32),Y32)+IF( F97=CONCATENATE(P34,":",S34),Y34)+IF( F97=CONCATENATE(P36,":",S36),Y36)</f>
        <v>0</v>
      </c>
      <c r="H97" s="70"/>
    </row>
    <row r="98" spans="2:8" s="64" customFormat="1" ht="15" x14ac:dyDescent="0.3">
      <c r="B98" s="68"/>
      <c r="C98" s="69"/>
      <c r="D98" s="69"/>
      <c r="E98" s="69"/>
      <c r="F98" s="77" t="s">
        <v>307</v>
      </c>
      <c r="G98" s="79">
        <f>IF( F98=CONCATENATE(G14,":",J14),Y14)+IF( F98=CONCATENATE(G16,":",J16),Y16)+IF( F98=CONCATENATE(G18,":",J18),Y18)+IF( F98=CONCATENATE(G20,":",J20),Y20)+IF( F98=CONCATENATE(G22,":",J22),Y22)+IF( F98=CONCATENATE(G24,":",J24),Y24)+IF( F98=CONCATENATE(G26,":",J26),Y26)+IF( F98=CONCATENATE(G28,":",J28),Y28)+IF( F98=CONCATENATE(P30,":",S30),Y30)+IF( F98=CONCATENATE(P32,":",S32),Y32)+IF( F98=CONCATENATE(P34,":",S34),Y34)+IF( F98=CONCATENATE(P36,":",S36),Y36)</f>
        <v>0</v>
      </c>
      <c r="H98" s="70"/>
    </row>
    <row r="99" spans="2:8" s="64" customFormat="1" ht="15" x14ac:dyDescent="0.3">
      <c r="B99" s="68"/>
      <c r="C99" s="69"/>
      <c r="D99" s="69"/>
      <c r="E99" s="69"/>
      <c r="F99" s="77" t="s">
        <v>325</v>
      </c>
      <c r="G99" s="79">
        <f>IF( F99=CONCATENATE(G14,":",J14),Y14)+IF( F99=CONCATENATE(G16,":",J16),Y16)+IF( F99=CONCATENATE(G18,":",J18),Y18)+IF( F99=CONCATENATE(G20,":",J20),Y20)+IF( F99=CONCATENATE(G22,":",J22),Y22)+IF( F99=CONCATENATE(G24,":",J24),Y24)+IF( F99=CONCATENATE(G26,":",J26),Y26)+IF( F99=CONCATENATE(G28,":",J28),Y28)+IF( F99=CONCATENATE(P30,":",S30),Y30)+IF( F99=CONCATENATE(P32,":",S32),Y32)+IF( F99=CONCATENATE(P34,":",S34),Y34)+IF( F99=CONCATENATE(P36,":",S36),Y36)</f>
        <v>0</v>
      </c>
      <c r="H99" s="70"/>
    </row>
    <row r="100" spans="2:8" s="64" customFormat="1" ht="15" x14ac:dyDescent="0.3">
      <c r="B100" s="68"/>
      <c r="C100" s="69"/>
      <c r="D100" s="69"/>
      <c r="E100" s="69"/>
      <c r="F100" s="77" t="s">
        <v>227</v>
      </c>
      <c r="G100" s="79">
        <f>IF(F100=CONCATENATE(G14,":",J14),Y14)+IF(F100=CONCATENATE(G16,":",J16),Y16)+IF(F100=CONCATENATE(G18,":",J18),Y18)+IF(F100=CONCATENATE(G20,":",J20),Y20)+IF(F100=CONCATENATE(G22,":",J22),Y22)+IF(F100=CONCATENATE(G24,":",J24),Y24)+IF(F100=CONCATENATE(G26,":",J26),Y26)+IF(F100=CONCATENATE(G28,":",J28),Y28)+IF(F100=CONCATENATE(P30,":",S30),Y30)+IF(F100=CONCATENATE(P32,":",S32),Y32)+IF(F100=CONCATENATE(P34,":",S34),Y34)+IF(F100=CONCATENATE(P36,":",S36),Y36)</f>
        <v>0</v>
      </c>
      <c r="H100" s="70"/>
    </row>
    <row r="101" spans="2:8" s="64" customFormat="1" ht="15" x14ac:dyDescent="0.3">
      <c r="B101" s="68"/>
      <c r="C101" s="69"/>
      <c r="D101" s="69"/>
      <c r="E101" s="69"/>
      <c r="F101" s="77" t="s">
        <v>228</v>
      </c>
      <c r="G101" s="79">
        <f>IF(F101=CONCATENATE(G14,":",J14),Y14)+IF(F101=CONCATENATE(G16,":",J16),Y16)+IF(F101=CONCATENATE(G18,":",J18),Y18)+IF(F101=CONCATENATE(G20,":",J20),Y20)+IF(F101=CONCATENATE(G22,":",J22),Y22)+IF(F101=CONCATENATE(G24,":",J24),Y24)+IF(F101=CONCATENATE(G26,":",J26),Y26)+IF(F101=CONCATENATE(G28,":",J28),Y28)+IF(F101=CONCATENATE(P30,":",S30),Y30)+IF(F101=CONCATENATE(P32,":",S32),Y32)+IF(F101=CONCATENATE(P34,":",S34),Y34)+IF(F101=CONCATENATE(P36,":",S36),Y36)</f>
        <v>0</v>
      </c>
      <c r="H101" s="70"/>
    </row>
    <row r="102" spans="2:8" s="64" customFormat="1" ht="15" x14ac:dyDescent="0.3">
      <c r="B102" s="68"/>
      <c r="C102" s="69"/>
      <c r="D102" s="69"/>
      <c r="E102" s="69"/>
      <c r="F102" s="77" t="s">
        <v>229</v>
      </c>
      <c r="G102" s="79">
        <f>IF(F102=CONCATENATE(G14,":",J14),Y14)+IF(F102=CONCATENATE(G16,":",J16),Y16)+IF(F102=CONCATENATE(G18,":",J18),Y18)+IF(F102=CONCATENATE(G20,":",J20),Y20)+IF(F102=CONCATENATE(G22,":",J22),Y22)+IF(F102=CONCATENATE(G24,":",J24),Y24)+IF(F102=CONCATENATE(G26,":",J26),Y26)+IF(F102=CONCATENATE(G28,":",J28),Y28)+IF(F102=CONCATENATE(P30,":",S30),Y30)+IF(F102=CONCATENATE(P32,":",S32),Y32)+IF(F102=CONCATENATE(P34,":",S34),Y34)+IF(F102=CONCATENATE(P36,":",S36),Y36)</f>
        <v>0</v>
      </c>
      <c r="H102" s="70"/>
    </row>
    <row r="103" spans="2:8" s="64" customFormat="1" ht="15" x14ac:dyDescent="0.3">
      <c r="B103" s="68"/>
      <c r="C103" s="69"/>
      <c r="D103" s="69"/>
      <c r="E103" s="69"/>
      <c r="F103" s="77" t="s">
        <v>230</v>
      </c>
      <c r="G103" s="79">
        <f>IF(F103=CONCATENATE(G14,":",J14),Y14)+IF(F103=CONCATENATE(G16,":",J16),Y16)+IF(F103=CONCATENATE(G18,":",J18),Y18)+IF(F103=CONCATENATE(G20,":",J20),Y20)+IF(F103=CONCATENATE(G22,":",J22),Y22)+IF(F103=CONCATENATE(G24,":",J24),Y24)+IF(F103=CONCATENATE(G26,":",J26),Y26)+IF(F103=CONCATENATE(G28,":",J28),Y28)+IF(F103=CONCATENATE(P30,":",S30),Y30)+IF(F103=CONCATENATE(P32,":",S32),Y32)+IF(F103=CONCATENATE(P34,":",S34),Y34)+IF(F103=CONCATENATE(P36,":",S36),Y36)</f>
        <v>0</v>
      </c>
      <c r="H103" s="70"/>
    </row>
    <row r="104" spans="2:8" s="64" customFormat="1" ht="15" x14ac:dyDescent="0.3">
      <c r="B104" s="68"/>
      <c r="C104" s="69"/>
      <c r="D104" s="69"/>
      <c r="E104" s="69"/>
      <c r="F104" s="77" t="s">
        <v>231</v>
      </c>
      <c r="G104" s="79">
        <f>IF(F104=CONCATENATE(G14,":",J14),Y14)+IF(F104=CONCATENATE(G16,":",J16),Y16)+IF(F104=CONCATENATE(G18,":",J18),Y18)+IF(F104=CONCATENATE(G20,":",J20),Y20)+IF(F104=CONCATENATE(G22,":",J22),Y22)+IF(F104=CONCATENATE(G24,":",J24),Y24)+IF(F104=CONCATENATE(G26,":",J26),Y26)+IF(F104=CONCATENATE(G28,":",J28),Y28)+IF(F104=CONCATENATE(P30,":",S30),Y30)+IF(F104=CONCATENATE(P32,":",S32),Y32)+IF(F104=CONCATENATE(P34,":",S34),Y34)+IF(F104=CONCATENATE(P36,":",S36),Y36)</f>
        <v>0</v>
      </c>
      <c r="H104" s="70"/>
    </row>
    <row r="105" spans="2:8" s="64" customFormat="1" ht="15" x14ac:dyDescent="0.3">
      <c r="B105" s="68"/>
      <c r="C105" s="69"/>
      <c r="D105" s="69"/>
      <c r="E105" s="69"/>
      <c r="F105" s="77" t="s">
        <v>232</v>
      </c>
      <c r="G105" s="79">
        <f>IF(F105=CONCATENATE(G14,":",J14),Y14)+IF(F105=CONCATENATE(G16,":",J16),Y16)+IF(F105=CONCATENATE(G18,":",J18),Y18)+IF(F105=CONCATENATE(G20,":",J20),Y20)+IF(F105=CONCATENATE(G22,":",J22),Y22)+IF(F105=CONCATENATE(G24,":",J24),Y24)+IF(F105=CONCATENATE(G26,":",J26),Y26)+IF(F105=CONCATENATE(G28,":",J28),Y28)+IF(F105=CONCATENATE(P30,":",S30),Y30)+IF(F105=CONCATENATE(P32,":",S32),Y32)+IF(F105=CONCATENATE(P34,":",S34),Y34)+IF(F105=CONCATENATE(P36,":",S36),Y36)</f>
        <v>0</v>
      </c>
      <c r="H105" s="70"/>
    </row>
    <row r="106" spans="2:8" s="64" customFormat="1" ht="15" x14ac:dyDescent="0.3">
      <c r="B106" s="68"/>
      <c r="C106" s="69"/>
      <c r="D106" s="69"/>
      <c r="E106" s="69"/>
      <c r="F106" s="77" t="s">
        <v>300</v>
      </c>
      <c r="G106" s="79">
        <f>IF(F106=CONCATENATE(G14,":",J14),Y14)+IF(F106=CONCATENATE(G16,":",J16),Y16)+IF(F106=CONCATENATE(G18,":",J18),Y18)+IF(F106=CONCATENATE(G20,":",J20),Y20)+IF(F106=CONCATENATE(G22,":",J22),Y22)+IF(F106=CONCATENATE(G24,":",J24),Y24)+IF(F106=CONCATENATE(G26,":",J26),Y26)+IF(F106=CONCATENATE(G28,":",J28),Y28)+IF(F106=CONCATENATE(P30,":",S30),Y30)+IF(F106=CONCATENATE(P32,":",S32),Y32)+IF(F106=CONCATENATE(P34,":",S34),Y34)+IF(F106=CONCATENATE(P36,":",S36),Y36)</f>
        <v>0</v>
      </c>
      <c r="H106" s="70"/>
    </row>
    <row r="107" spans="2:8" s="64" customFormat="1" ht="15" x14ac:dyDescent="0.3">
      <c r="B107" s="68"/>
      <c r="C107" s="69"/>
      <c r="D107" s="69"/>
      <c r="E107" s="69"/>
      <c r="F107" s="77" t="s">
        <v>286</v>
      </c>
      <c r="G107" s="79">
        <f>IF(F107=CONCATENATE(G14,":",J14),Y14)+IF(F107=CONCATENATE(G16,":",J16),Y16)+IF(F107=CONCATENATE(G18,":",J18),Y18)+IF(F107=CONCATENATE(G20,":",J20),Y20)+IF(F107=CONCATENATE(G22,":",J22),Y22)+IF(F107=CONCATENATE(G24,":",J24),Y24)+IF(F107=CONCATENATE(G26,":",J26),Y26)+IF(F107=CONCATENATE(G28,":",J28),Y28)+IF(F107=CONCATENATE(P30,":",S30),Y30)+IF(F107=CONCATENATE(P32,":",S32),Y32)+IF(F107=CONCATENATE(P34,":",S34),Y34)+IF(F107=CONCATENATE(P36,":",S36),Y36)</f>
        <v>0</v>
      </c>
      <c r="H107" s="70"/>
    </row>
    <row r="108" spans="2:8" s="64" customFormat="1" ht="15" x14ac:dyDescent="0.3">
      <c r="B108" s="68"/>
      <c r="C108" s="69"/>
      <c r="D108" s="69"/>
      <c r="E108" s="69"/>
      <c r="F108" s="77" t="s">
        <v>233</v>
      </c>
      <c r="G108" s="79">
        <f>IF(F108=CONCATENATE(G14,":",J14),Y14)+IF(F108=CONCATENATE(G16,":",J16),Y16)+IF(F108=CONCATENATE(G18,":",J18),Y18)+IF(F108=CONCATENATE(G20,":",J20),Y20)+IF(F108=CONCATENATE(G22,":",J22),Y22)+IF(F108=CONCATENATE(G24,":",J24),Y24)+IF(F108=CONCATENATE(G26,":",J26),Y26)+IF(F108=CONCATENATE(G28,":",J28),Y28)+IF(F108=CONCATENATE(P30,":",S30),Y30)+IF(F108=CONCATENATE(P32,":",S32),Y32)+IF(F108=CONCATENATE(P34,":",S34),Y34)+IF(F108=CONCATENATE(P36,":",S36),Y36)</f>
        <v>0</v>
      </c>
      <c r="H108" s="70"/>
    </row>
    <row r="109" spans="2:8" s="64" customFormat="1" ht="15" x14ac:dyDescent="0.3">
      <c r="B109" s="68"/>
      <c r="C109" s="69"/>
      <c r="D109" s="69"/>
      <c r="E109" s="69"/>
      <c r="F109" s="77" t="s">
        <v>292</v>
      </c>
      <c r="G109" s="79">
        <f>IF(F109=CONCATENATE(G14,":",J14),Y14)+IF(F109=CONCATENATE(G16,":",J16),Y16)+IF(F109=CONCATENATE(G18,":",J18),Y18)+IF(F109=CONCATENATE(G20,":",J20),Y20)+IF(F109=CONCATENATE(G22,":",J22),Y22)+IF(F109=CONCATENATE(G24,":",J24),Y24)+IF(F109=CONCATENATE(G26,":",J26),Y26)+IF(F109=CONCATENATE(G28,":",J28),Y28)+IF(F109=CONCATENATE(P30,":",S30),Y30)+IF(F109=CONCATENATE(P32,":",S32),Y32)+IF(F109=CONCATENATE(P34,":",S34),Y34)+IF(F109=CONCATENATE(P36,":",S36),Y36)</f>
        <v>0</v>
      </c>
      <c r="H109" s="70"/>
    </row>
    <row r="110" spans="2:8" s="64" customFormat="1" ht="15" x14ac:dyDescent="0.3">
      <c r="B110" s="68"/>
      <c r="C110" s="69"/>
      <c r="D110" s="69"/>
      <c r="E110" s="69"/>
      <c r="F110" s="77" t="s">
        <v>234</v>
      </c>
      <c r="G110" s="79">
        <f>IF(F110=CONCATENATE(G14,":",J14),Y14)+IF(F110=CONCATENATE(G16,":",J16),Y16)+IF(F110=CONCATENATE(G18,":",J18),Y18)+IF(F110=CONCATENATE(G20,":",J20),Y20)+IF(F110=CONCATENATE(G22,":",J22),Y22)+IF(F110=CONCATENATE(G24,":",J24),Y24)+IF(F110=CONCATENATE(G26,":",J26),Y26)+IF(F110=CONCATENATE(G28,":",J28),Y28)+IF(F110=CONCATENATE(P30,":",S30),Y30)+IF(F110=CONCATENATE(P32,":",S32),Y32)+IF(F110=CONCATENATE(P34,":",S34),Y34)+IF(F110=CONCATENATE(P36,":",S36),Y36)</f>
        <v>0</v>
      </c>
      <c r="H110" s="70"/>
    </row>
    <row r="111" spans="2:8" s="64" customFormat="1" ht="15" x14ac:dyDescent="0.3">
      <c r="B111" s="68"/>
      <c r="C111" s="69"/>
      <c r="D111" s="69"/>
      <c r="E111" s="69"/>
      <c r="F111" s="77" t="s">
        <v>235</v>
      </c>
      <c r="G111" s="79">
        <f>IF(F111=CONCATENATE(G14,":",J14),Y14)+IF(F111=CONCATENATE(G16,":",J16),Y16)+IF(F111=CONCATENATE(G18,":",J18),Y18)+IF(F111=CONCATENATE(G20,":",J20),Y20)+IF(F111=CONCATENATE(G22,":",J22),Y22)+IF(F111=CONCATENATE(G24,":",J24),Y24)+IF(F111=CONCATENATE(G26,":",J26),Y26)+IF(F111=CONCATENATE(G28,":",J28),Y28)+IF(F111=CONCATENATE(P30,":",S30),Y30)+IF(F111=CONCATENATE(P32,":",S32),Y32)+IF(F111=CONCATENATE(P34,":",S34),Y34)+IF(F111=CONCATENATE(P36,":",S36),Y36)</f>
        <v>0</v>
      </c>
      <c r="H111" s="70"/>
    </row>
    <row r="112" spans="2:8" s="64" customFormat="1" ht="15" x14ac:dyDescent="0.3">
      <c r="B112" s="68"/>
      <c r="C112" s="69"/>
      <c r="D112" s="69"/>
      <c r="E112" s="69"/>
      <c r="F112" s="77" t="s">
        <v>236</v>
      </c>
      <c r="G112" s="79">
        <f>IF(F112=CONCATENATE(G14,":",J14),Y14)+IF(F112=CONCATENATE(G16,":",J16),Y16)+IF(F112=CONCATENATE(G18,":",J18),Y18)+IF(F112=CONCATENATE(G20,":",J20),Y20)+IF(F112=CONCATENATE(G22,":",J22),Y22)+IF(F112=CONCATENATE(G24,":",J24),Y24)+IF(F112=CONCATENATE(G26,":",J26),Y26)+IF(F112=CONCATENATE(G28,":",J28),Y28)+IF(F112=CONCATENATE(P30,":",S30),Y30)+IF(F112=CONCATENATE(P32,":",S32),Y32)+IF(F112=CONCATENATE(P34,":",S34),Y34)+IF(F112=CONCATENATE(P36,":",S36),Y36)</f>
        <v>0</v>
      </c>
      <c r="H112" s="70"/>
    </row>
    <row r="113" spans="2:8" s="64" customFormat="1" ht="15" x14ac:dyDescent="0.3">
      <c r="B113" s="68"/>
      <c r="C113" s="69"/>
      <c r="D113" s="69"/>
      <c r="E113" s="69"/>
      <c r="F113" s="77" t="s">
        <v>237</v>
      </c>
      <c r="G113" s="79">
        <f>IF(F113=CONCATENATE(G14,":",J14),Y14)+IF(F113=CONCATENATE(G16,":",J16),Y16)+IF(F113=CONCATENATE(G18,":",J18),Y18)+IF(F113=CONCATENATE(G20,":",J20),Y20)+IF(F113=CONCATENATE(G22,":",J22),Y22)+IF(F113=CONCATENATE(G24,":",J24),Y24)+IF(F113=CONCATENATE(G26,":",J26),Y26)+IF(F113=CONCATENATE(G28,":",J28),Y28)+IF(F113=CONCATENATE(P30,":",S30),Y30)+IF(F113=CONCATENATE(P32,":",S32),Y32)+IF(F113=CONCATENATE(P34,":",S34),Y34)+IF(F113=CONCATENATE(P36,":",S36),Y36)</f>
        <v>0</v>
      </c>
      <c r="H113" s="70"/>
    </row>
    <row r="114" spans="2:8" s="64" customFormat="1" ht="15" x14ac:dyDescent="0.3">
      <c r="B114" s="68"/>
      <c r="C114" s="69"/>
      <c r="D114" s="69"/>
      <c r="E114" s="69"/>
      <c r="F114" s="77" t="s">
        <v>238</v>
      </c>
      <c r="G114" s="79">
        <f>IF(F114=CONCATENATE(G14,":",J14),Y14)+IF(F114=CONCATENATE(G16,":",J16),Y16)+IF(F114=CONCATENATE(G18,":",J18),Y18)+IF(F114=CONCATENATE(G20,":",J20),Y20)+IF(F114=CONCATENATE(G22,":",J22),Y22)+IF(F114=CONCATENATE(G24,":",J24),Y24)+IF(F114=CONCATENATE(G26,":",J26),Y26)+IF(F114=CONCATENATE(G28,":",J28),Y28)+IF(F114=CONCATENATE(P30,":",S30),Y30)+IF(F114=CONCATENATE(P32,":",S32),Y32)+IF(F114=CONCATENATE(P34,":",S34),Y34)+IF(F114=CONCATENATE(P36,":",S36),Y36)</f>
        <v>0</v>
      </c>
      <c r="H114" s="70"/>
    </row>
    <row r="115" spans="2:8" s="64" customFormat="1" ht="15" x14ac:dyDescent="0.3">
      <c r="B115" s="68"/>
      <c r="C115" s="69"/>
      <c r="D115" s="69"/>
      <c r="E115" s="69"/>
      <c r="F115" s="77" t="s">
        <v>239</v>
      </c>
      <c r="G115" s="79">
        <f>IF(F115=CONCATENATE(G14,":",J14),Y14)+IF(F115=CONCATENATE(G16,":",J16),Y16)+IF(F115=CONCATENATE(G18,":",J18),Y18)+IF(F115=CONCATENATE(G20,":",J20),Y20)+IF(F115=CONCATENATE(G22,":",J22),Y22)+IF(F115=CONCATENATE(G24,":",J24),Y24)+IF(F115=CONCATENATE(G26,":",J26),Y26)+IF(F115=CONCATENATE(G28,":",J28),Y28)+IF(F115=CONCATENATE(P30,":",S30),Y30)+IF(F115=CONCATENATE(P32,":",S32),Y32)+IF(F115=CONCATENATE(P34,":",S34),Y34)+IF(F115=CONCATENATE(P36,":",S36),Y36)</f>
        <v>0</v>
      </c>
      <c r="H115" s="70"/>
    </row>
    <row r="116" spans="2:8" s="64" customFormat="1" ht="15" x14ac:dyDescent="0.3">
      <c r="B116" s="68"/>
      <c r="C116" s="69"/>
      <c r="D116" s="69"/>
      <c r="E116" s="69"/>
      <c r="F116" s="77" t="s">
        <v>321</v>
      </c>
      <c r="G116" s="79">
        <f>IF(F116=CONCATENATE(G14,":",J14),Y14)+IF(F116=CONCATENATE(G16,":",J16),Y16)+IF(F116=CONCATENATE(G18,":",J18),Y18)+IF(F116=CONCATENATE(G20,":",J20),Y20)+IF(F116=CONCATENATE(G22,":",J22),Y22)+IF(F116=CONCATENATE(G24,":",J24),Y24)+IF(F116=CONCATENATE(G26,":",J26),Y26)+IF(F116=CONCATENATE(G28,":",J28),Y28)+IF(F116=CONCATENATE(P30,":",S30),Y30)+IF(F116=CONCATENATE(P32,":",S32),Y32)+IF(F116=CONCATENATE(P34,":",S34),Y34)+IF(F116=CONCATENATE(P36,":",S36),Y36)</f>
        <v>0</v>
      </c>
      <c r="H116" s="70"/>
    </row>
    <row r="117" spans="2:8" s="64" customFormat="1" ht="15" x14ac:dyDescent="0.3">
      <c r="B117" s="68"/>
      <c r="C117" s="69"/>
      <c r="D117" s="69"/>
      <c r="E117" s="69"/>
      <c r="F117" s="77" t="s">
        <v>240</v>
      </c>
      <c r="G117" s="79">
        <f>IF(F117=CONCATENATE(G14,":",J14),Y14)+IF(F117=CONCATENATE(G16,":",J16),Y16)+IF(F117=CONCATENATE(G18,":",J18),Y18)+IF(F117=CONCATENATE(G20,":",J20),Y20)+IF(F117=CONCATENATE(G22,":",J22),Y22)+IF(F117=CONCATENATE(G24,":",J24),Y24)+IF(F117=CONCATENATE(G26,":",J26),Y26)+IF(F117=CONCATENATE(G28,":",J28),Y28)+IF(F117=CONCATENATE(P30,":",S30),Y30)+IF(F117=CONCATENATE(P32,":",S32),Y32)+IF(F117=CONCATENATE(P34,":",S34),Y34)+IF(F117=CONCATENATE(P36,":",S36),Y36)</f>
        <v>0</v>
      </c>
      <c r="H117" s="70"/>
    </row>
    <row r="118" spans="2:8" s="64" customFormat="1" ht="15" x14ac:dyDescent="0.3">
      <c r="B118" s="68"/>
      <c r="C118" s="69"/>
      <c r="D118" s="69"/>
      <c r="E118" s="69"/>
      <c r="F118" s="77" t="s">
        <v>305</v>
      </c>
      <c r="G118" s="79">
        <f>IF(F118=CONCATENATE(G14,":",J14),Y14)+IF(F118=CONCATENATE(G16,":",J16),Y16)+IF(F118=CONCATENATE(G18,":",J18),Y18)+IF(F118=CONCATENATE(G20,":",J20),Y20)+IF(F118=CONCATENATE(G22,":",J22),Y22)+IF(F118=CONCATENATE(G24,":",J24),Y24)+IF(F118=CONCATENATE(G26,":",J26),Y26)+IF(F118=CONCATENATE(G28,":",J28),Y28)+IF(F118=CONCATENATE(P30,":",S30),Y30)+IF(F118=CONCATENATE(P32,":",S32),Y32)+IF(F118=CONCATENATE(P34,":",S34),Y34)+IF(F118=CONCATENATE(P36,":",S36),Y36)</f>
        <v>0</v>
      </c>
      <c r="H118" s="70"/>
    </row>
    <row r="119" spans="2:8" s="64" customFormat="1" ht="15" x14ac:dyDescent="0.3">
      <c r="B119" s="68"/>
      <c r="C119" s="69"/>
      <c r="D119" s="69"/>
      <c r="E119" s="69"/>
      <c r="F119" s="77" t="s">
        <v>244</v>
      </c>
      <c r="G119" s="79">
        <f>IF(F119=CONCATENATE(G14,":",J14),Y14)+IF(F119=CONCATENATE(G16,":",J16),Y16)+IF(F119=CONCATENATE(G18,":",J18),Y18)+IF(F119=CONCATENATE(G20,":",J20),Y20)+IF(F119=CONCATENATE(G22,":",J22),Y22)+IF(F119=CONCATENATE(G24,":",J24),Y24)+IF(F119=CONCATENATE(G26,":",J26),Y26)+IF(F119=CONCATENATE(G28,":",J28),Y28)+IF(F119=CONCATENATE(P30,":",S30),Y30)+IF(F119=CONCATENATE(P32,":",S32),Y32)+IF(F119=CONCATENATE(P34,":",S34),Y34)+IF(F119=CONCATENATE(P36,":",S36),Y36)</f>
        <v>0</v>
      </c>
      <c r="H119" s="70"/>
    </row>
    <row r="120" spans="2:8" s="64" customFormat="1" ht="15" x14ac:dyDescent="0.3">
      <c r="B120" s="68"/>
      <c r="C120" s="69"/>
      <c r="D120" s="69"/>
      <c r="E120" s="69"/>
      <c r="F120" s="77" t="s">
        <v>241</v>
      </c>
      <c r="G120" s="79">
        <f>IF(F120=CONCATENATE(G14,":",J14),Y14)+IF(F120=CONCATENATE(G16,":",J16),Y16)+IF(F120=CONCATENATE(G18,":",J18),Y18)+IF(F120=CONCATENATE(G20,":",J20),Y20)+IF(F120=CONCATENATE(G22,":",J22),Y22)+IF(F120=CONCATENATE(G24,":",J24),Y24)+IF(F120=CONCATENATE(G26,":",J26),Y26)+IF(F120=CONCATENATE(G28,":",J28),Y28)+IF(F120=CONCATENATE(P30,":",S30),Y30)+IF(F120=CONCATENATE(P32,":",S32),Y32)+IF(F120=CONCATENATE(P34,":",S34),Y34)+IF(F120=CONCATENATE(P36,":",S36),Y36)</f>
        <v>0</v>
      </c>
      <c r="H120" s="70"/>
    </row>
    <row r="121" spans="2:8" s="64" customFormat="1" ht="15" x14ac:dyDescent="0.3">
      <c r="B121" s="68"/>
      <c r="C121" s="69"/>
      <c r="D121" s="69"/>
      <c r="E121" s="69"/>
      <c r="F121" s="77" t="s">
        <v>317</v>
      </c>
      <c r="G121" s="79">
        <f>IF(F121=CONCATENATE(G14,":",J14),Y14)+IF(F121=CONCATENATE(G16,":",J16),Y16)+IF(F121=CONCATENATE(G18,":",J18),Y18)+IF(F121=CONCATENATE(G20,":",J20),Y20)+IF(F121=CONCATENATE(G22,":",J22),Y22)+IF(F121=CONCATENATE(G24,":",J24),Y24)+IF(F121=CONCATENATE(G26,":",J26),Y26)+IF(F121=CONCATENATE(G28,":",J28),Y28)+IF(F121=CONCATENATE(P30,":",S30),Y30)+IF(F121=CONCATENATE(P32,":",S32),Y32)+IF(F121=CONCATENATE(P34,":",S34),Y34)+IF(F121=CONCATENATE(P36,":",S36),Y36)</f>
        <v>0</v>
      </c>
      <c r="H121" s="70"/>
    </row>
    <row r="122" spans="2:8" s="64" customFormat="1" ht="15" x14ac:dyDescent="0.3">
      <c r="B122" s="68"/>
      <c r="C122" s="69"/>
      <c r="D122" s="69"/>
      <c r="E122" s="69"/>
      <c r="F122" s="77" t="s">
        <v>242</v>
      </c>
      <c r="G122" s="79">
        <f>IF(F122=CONCATENATE(G14,":",J14),Y14)+IF(F122=CONCATENATE(G16,":",J16),Y16)+IF(F122=CONCATENATE(G18,":",J18),Y18)+IF(F122=CONCATENATE(G20,":",J20),Y20)+IF(F122=CONCATENATE(G22,":",J22),Y22)+IF(F122=CONCATENATE(G24,":",J24),Y24)+IF(F122=CONCATENATE(G26,":",J26),Y26)+IF(F122=CONCATENATE(G28,":",J28),Y28)+IF(F122=CONCATENATE(P30,":",S30),Y30)+IF(F122=CONCATENATE(P32,":",S32),Y32)+IF(F122=CONCATENATE(P34,":",S34),Y34)+IF(F122=CONCATENATE(P36,":",S36),Y36)</f>
        <v>0</v>
      </c>
      <c r="H122" s="70"/>
    </row>
    <row r="123" spans="2:8" s="64" customFormat="1" ht="15" x14ac:dyDescent="0.3">
      <c r="B123" s="68"/>
      <c r="C123" s="69"/>
      <c r="D123" s="69"/>
      <c r="E123" s="69"/>
      <c r="F123" s="77" t="s">
        <v>322</v>
      </c>
      <c r="G123" s="79">
        <f>IF(F123=CONCATENATE(G14,":",J14),Y14)+IF(F123=CONCATENATE(G16,":",J16),Y16)+IF(F123=CONCATENATE(G18,":",J18),Y18)+IF(F123=CONCATENATE(G20,":",J20),Y20)+IF(F123=CONCATENATE(G22,":",J22),Y22)+IF(F123=CONCATENATE(G24,":",J24),Y24)+IF(F123=CONCATENATE(G26,":",J26),Y26)+IF(F123=CONCATENATE(G28,":",J28),Y28)+IF(F123=CONCATENATE(P30,":",S30),Y30)+IF(F123=CONCATENATE(P32,":",S32),Y32)+IF(F123=CONCATENATE(P34,":",S34),Y34)+IF(F123=CONCATENATE(P36,":",S36),Y36)</f>
        <v>0</v>
      </c>
      <c r="H123" s="70"/>
    </row>
    <row r="124" spans="2:8" s="64" customFormat="1" ht="15" x14ac:dyDescent="0.3">
      <c r="B124" s="68"/>
      <c r="C124" s="69"/>
      <c r="D124" s="69"/>
      <c r="E124" s="69"/>
      <c r="F124" s="77" t="s">
        <v>311</v>
      </c>
      <c r="G124" s="79">
        <f>IF(F124=CONCATENATE(G14,":",J14),Y14)+IF(F124=CONCATENATE(G16,":",J16),Y16)+IF(F124=CONCATENATE(G18,":",J18),Y18)+IF(F124=CONCATENATE(G20,":",J20),Y20)+IF(F124=CONCATENATE(G22,":",J22),Y22)+IF(F124=CONCATENATE(G24,":",J24),Y24)+IF(F124=CONCATENATE(G26,":",J26),Y26)+IF(F124=CONCATENATE(G28,":",J28),Y28)+IF(F124=CONCATENATE(P30,":",S30),Y30)+IF(F124=CONCATENATE(P32,":",S32),Y32)+IF(F124=CONCATENATE(P34,":",S34),Y34)+IF(F124=CONCATENATE(P36,":",S36),Y36)</f>
        <v>0</v>
      </c>
      <c r="H124" s="70"/>
    </row>
    <row r="125" spans="2:8" s="64" customFormat="1" ht="15" x14ac:dyDescent="0.3">
      <c r="B125" s="68"/>
      <c r="C125" s="69"/>
      <c r="D125" s="69"/>
      <c r="E125" s="69"/>
      <c r="F125" s="77" t="s">
        <v>243</v>
      </c>
      <c r="G125" s="79">
        <f>IF(F125=CONCATENATE(G14,":",J14),Y14)+IF(F125=CONCATENATE(G16,":",J16),Y16)+IF(F125=CONCATENATE(G18,":",J18),Y18)+IF(F125=CONCATENATE(G20,":",J20),Y20)+IF(F125=CONCATENATE(G22,":",J22),Y22)+IF(F125=CONCATENATE(G24,":",J24),Y24)+IF(F125=CONCATENATE(G26,":",J26),Y26)+IF(F125=CONCATENATE(G28,":",J28),Y28)+IF(F125=CONCATENATE(P30,":",S30),Y30)+IF(F125=CONCATENATE(P32,":",S32),Y32)+IF(F125=CONCATENATE(P34,":",S34),Y34)+IF(F125=CONCATENATE(P36,":",S36),Y36)</f>
        <v>0</v>
      </c>
      <c r="H125" s="70"/>
    </row>
    <row r="126" spans="2:8" s="64" customFormat="1" ht="15" x14ac:dyDescent="0.3">
      <c r="B126" s="68"/>
      <c r="C126" s="69"/>
      <c r="D126" s="69"/>
      <c r="E126" s="69"/>
      <c r="F126" s="77" t="s">
        <v>312</v>
      </c>
      <c r="G126" s="79">
        <f>IF(F126=CONCATENATE(G14,":",J14),Y14)+IF(F126=CONCATENATE(G16,":",J16),Y16)+IF(F126=CONCATENATE(G18,":",J18),Y18)+IF(F126=CONCATENATE(G20,":",J20),Y20)+IF(F126=CONCATENATE(G22,":",J22),Y22)+IF(F126=CONCATENATE(G24,":",J24),Y24)+IF(F126=CONCATENATE(G26,":",J26),Y26)+IF(F126=CONCATENATE(G28,":",J28),Y28)+IF(F126=CONCATENATE(P30,":",S30),Y30)+IF(F126=CONCATENATE(P32,":",S32),Y32)+IF(F126=CONCATENATE(P34,":",S34),Y34)+IF(F126=CONCATENATE(P36,":",S36),Y36)</f>
        <v>0</v>
      </c>
      <c r="H126" s="70"/>
    </row>
    <row r="127" spans="2:8" s="64" customFormat="1" ht="15" x14ac:dyDescent="0.3">
      <c r="B127" s="68"/>
      <c r="C127" s="69"/>
      <c r="D127" s="69"/>
      <c r="E127" s="69"/>
      <c r="F127" s="77" t="s">
        <v>313</v>
      </c>
      <c r="G127" s="79">
        <f>IF(F127=CONCATENATE(G14,":",J14),Y14)+IF(F127=CONCATENATE(G16,":",J16),Y16)+IF(F127=CONCATENATE(G18,":",J18),Y18)+IF(F127=CONCATENATE(G20,":",J20),Y20)+IF(F127=CONCATENATE(G22,":",J22),Y22)+IF(F127=CONCATENATE(G24,":",J24),Y24)+IF(F127=CONCATENATE(G26,":",J26),Y26)+IF(F127=CONCATENATE(G28,":",J28),Y28)+IF(F127=CONCATENATE(P30,":",S30),Y30)+IF(F127=CONCATENATE(P32,":",S32),Y32)+IF(F127=CONCATENATE(P34,":",S34),Y34)+IF(F127=CONCATENATE(P36,":",S36),Y36)</f>
        <v>0</v>
      </c>
      <c r="H127" s="70"/>
    </row>
    <row r="128" spans="2:8" s="64" customFormat="1" ht="15" x14ac:dyDescent="0.3">
      <c r="B128" s="68"/>
      <c r="C128" s="69"/>
      <c r="D128" s="69"/>
      <c r="E128" s="69"/>
      <c r="F128" s="77" t="s">
        <v>288</v>
      </c>
      <c r="G128" s="79">
        <f>IF(F128=CONCATENATE(G14,":",J14),Y14)+IF(F128=CONCATENATE(G16,":",J16),Y16)+IF(F128=CONCATENATE(G18,":",J18),Y18)+IF(F128=CONCATENATE(G20,":",J20),Y20)+IF(F128=CONCATENATE(G22,":",J22),Y22)+IF(F128=CONCATENATE(G24,":",J24),Y24)+IF(F128=CONCATENATE(G26,":",J26),Y26)+IF(F128=CONCATENATE(G28,":",J28),Y28)+IF(F128=CONCATENATE(P30,":",S30),Y30)+IF(F128=CONCATENATE(P32,":",S32),Y32)+IF(F128=CONCATENATE(P34,":",S34),Y34)+IF(F128=CONCATENATE(P36,":",S36),Y36)</f>
        <v>0</v>
      </c>
      <c r="H128" s="70"/>
    </row>
    <row r="129" spans="2:8" s="64" customFormat="1" ht="15" x14ac:dyDescent="0.3">
      <c r="B129" s="68"/>
      <c r="C129" s="69"/>
      <c r="D129" s="69"/>
      <c r="E129" s="69"/>
      <c r="F129" s="77" t="s">
        <v>245</v>
      </c>
      <c r="G129" s="79">
        <f>IF(F129=CONCATENATE(G14,":",J14),Y14)+IF(F129=CONCATENATE(G16,":",J16),Y16)+IF(F129=CONCATENATE(G18,":",J18),Y18)+IF(F129=CONCATENATE(G20,":",J20),Y20)+IF(F129=CONCATENATE(G22,":",J22),Y22)+IF(F129=CONCATENATE(G24,":",J24),Y24)+IF(F129=CONCATENATE(G26,":",J26),Y26)+IF(F129=CONCATENATE(G28,":",J28),Y28)+IF(F129=CONCATENATE(P30,":",S30),Y30)+IF(F129=CONCATENATE(P32,":",S32),Y32)+IF(F129=CONCATENATE(P34,":",S34),Y34)+IF(F129=CONCATENATE(P36,":",S36),Y36)</f>
        <v>0</v>
      </c>
      <c r="H129" s="70"/>
    </row>
    <row r="130" spans="2:8" s="64" customFormat="1" ht="15" x14ac:dyDescent="0.3">
      <c r="B130" s="68"/>
      <c r="C130" s="69"/>
      <c r="D130" s="69"/>
      <c r="E130" s="69"/>
      <c r="F130" s="77" t="s">
        <v>246</v>
      </c>
      <c r="G130" s="79">
        <f>IF(F130=CONCATENATE(G14,":",J14),Y14)+IF(F130=CONCATENATE(G16,":",J16),Y16)+IF(F130=CONCATENATE(G18,":",J18),Y18)+IF(F130=CONCATENATE(G20,":",J20),Y20)+IF(F130=CONCATENATE(G22,":",J22),Y22)+IF(F130=CONCATENATE(G24,":",J24),Y24)+IF(F130=CONCATENATE(G26,":",J26),Y26)+IF(F130=CONCATENATE(G28,":",J28),Y28)+IF(F130=CONCATENATE(P30,":",S30),Y30)+IF(F130=CONCATENATE(P32,":",S32),Y32)+IF(F130=CONCATENATE(P34,":",S34),Y34)+IF(F130=CONCATENATE(P36,":",S36),Y36)</f>
        <v>0</v>
      </c>
      <c r="H130" s="70"/>
    </row>
    <row r="131" spans="2:8" s="64" customFormat="1" ht="15" x14ac:dyDescent="0.3">
      <c r="B131" s="68"/>
      <c r="C131" s="69"/>
      <c r="D131" s="69"/>
      <c r="E131" s="69"/>
      <c r="F131" s="77" t="s">
        <v>247</v>
      </c>
      <c r="G131" s="79">
        <f>IF(F131=CONCATENATE(G14,":",J14),Y14)+IF(F131=CONCATENATE(G16,":",J16),Y16)+IF(F131=CONCATENATE(G18,":",J18),Y18)+IF(F131=CONCATENATE(G20,":",J20),Y20)+IF(F131=CONCATENATE(G22,":",J22),Y22)+IF(F131=CONCATENATE(G24,":",J24),Y24)+IF(F131=CONCATENATE(G26,":",J26),Y26)+IF(F131=CONCATENATE(G28,":",J28),Y28)+IF(F131=CONCATENATE(P30,":",S30),Y30)+IF(F131=CONCATENATE(P32,":",S32),Y32)+IF(F131=CONCATENATE(P34,":",S34),Y34)+IF(F131=CONCATENATE(P36,":",S36),Y36)</f>
        <v>0</v>
      </c>
      <c r="H131" s="70"/>
    </row>
    <row r="132" spans="2:8" s="64" customFormat="1" ht="15" x14ac:dyDescent="0.3">
      <c r="B132" s="68"/>
      <c r="C132" s="69"/>
      <c r="D132" s="69"/>
      <c r="E132" s="69"/>
      <c r="F132" s="77" t="s">
        <v>248</v>
      </c>
      <c r="G132" s="79">
        <f>IF(F132=CONCATENATE(G14,":",J14),Y14)+IF(F132=CONCATENATE(G16,":",J16),Y16)+IF(F132=CONCATENATE(G18,":",J18),Y18)+IF(F132=CONCATENATE(G20,":",J20),Y20)+IF(F132=CONCATENATE(G22,":",J22),Y22)+IF(F132=CONCATENATE(G24,":",J24),Y24)+IF(F132=CONCATENATE(G26,":",J26),Y26)+IF(F132=CONCATENATE(G28,":",J28),Y28)+IF(F132=CONCATENATE(P30,":",S30),Y30)+IF(F132=CONCATENATE(P32,":",S32),Y32)+IF(F132=CONCATENATE(P34,":",S34),Y34)+IF(F132=CONCATENATE(P36,":",S36),Y36)</f>
        <v>0</v>
      </c>
      <c r="H132" s="70"/>
    </row>
    <row r="133" spans="2:8" s="64" customFormat="1" ht="15" x14ac:dyDescent="0.3">
      <c r="B133" s="68"/>
      <c r="C133" s="69"/>
      <c r="D133" s="69"/>
      <c r="E133" s="69"/>
      <c r="F133" s="77" t="s">
        <v>249</v>
      </c>
      <c r="G133" s="79">
        <f>IF(F133=CONCATENATE(G14,":",J14),Y14)+IF(F133=CONCATENATE(G16,":",J16),Y16)+IF(F133=CONCATENATE(G18,":",J18),Y18)+IF(F133=CONCATENATE(G20,":",J20),Y20)+IF(F133=CONCATENATE(G22,":",J22),Y22)+IF(F133=CONCATENATE(G24,":",J24),Y24)+IF(F131=CONCATENATE(G26,":",J26),Y26)+IF(F133=CONCATENATE(G28,":",J28),Y28)+IF(F133=CONCATENATE(P30,":",S30),Y30)+IF(F133=CONCATENATE(P32,":",S32),Y32)+IF(F133=CONCATENATE(P34,":",S34),Y34)+IF(F133=CONCATENATE(P36,":",S36),Y36)</f>
        <v>0</v>
      </c>
      <c r="H133" s="70"/>
    </row>
    <row r="134" spans="2:8" s="64" customFormat="1" ht="15" x14ac:dyDescent="0.3">
      <c r="B134" s="68"/>
      <c r="C134" s="69"/>
      <c r="D134" s="69"/>
      <c r="E134" s="69"/>
      <c r="F134" s="77" t="s">
        <v>250</v>
      </c>
      <c r="G134" s="79">
        <f>IF(F134=CONCATENATE(G14,":",J14),Y14)+IF(F134=CONCATENATE(G16,":",J16),Y16)+IF(F134=CONCATENATE(G18,":",J18),Y18)+IF(F134=CONCATENATE(G20,":",J20),Y20)+IF(F134=CONCATENATE(G22,":",J22),Y22)+IF(F134=CONCATENATE(G24,":",J24),Y24)+IF(F132=CONCATENATE(G26,":",J26),Y26)+IF(F134=CONCATENATE(G28,":",J28),Y28)+IF(F134=CONCATENATE(P30,":",S30),Y30)+IF(F134=CONCATENATE(P32,":",S32),Y32)+IF(F134=CONCATENATE(P34,":",S34),Y34)+IF(F134=CONCATENATE(P36,":",S36),Y36)</f>
        <v>0</v>
      </c>
      <c r="H134" s="70"/>
    </row>
    <row r="135" spans="2:8" s="64" customFormat="1" ht="15" x14ac:dyDescent="0.3">
      <c r="B135" s="68"/>
      <c r="C135" s="69"/>
      <c r="D135" s="69"/>
      <c r="E135" s="69"/>
      <c r="F135" s="80" t="s">
        <v>251</v>
      </c>
      <c r="G135" s="79">
        <f>IF(F135=CONCATENATE(G14,":",J14),Y14)+IF(F135=CONCATENATE(G16,":",J16),Y16)+IF(F135=CONCATENATE(G18,":",J18),Y18)+IF(F135=CONCATENATE(G20,":",J20),Y20)+IF(F135=CONCATENATE(G22,":",J22),Y22)+IF(F135=CONCATENATE(G24,":",J24),Y24)+IF(F135=CONCATENATE(G26,":",J26),Y26)+IF(F135=CONCATENATE(G28,":",J28),Y28)+IF(F135=CONCATENATE(P30,":",S30),Y30)+IF(F135=CONCATENATE(P32,":",S32),Y32)+IF(F135=CONCATENATE(P34,":",S34),Y34)+IF(F135=CONCATENATE(P36,":",S36),Y36)</f>
        <v>0</v>
      </c>
      <c r="H135" s="70"/>
    </row>
    <row r="136" spans="2:8" s="64" customFormat="1" ht="15" x14ac:dyDescent="0.3">
      <c r="B136" s="68"/>
      <c r="F136" s="77" t="s">
        <v>314</v>
      </c>
      <c r="G136" s="79">
        <f>IF(F136=CONCATENATE(G14,":",J14),Y14)+IF(F136=CONCATENATE(G16,":",J16),Y16)+IF(F136=CONCATENATE(G18,":",J18),Y18)+IF(F136=CONCATENATE(G20,":",J20),Y20)+IF(F136=CONCATENATE(G22,":",J22),Y22)+IF(F136=CONCATENATE(G24,":",J24),Y24)+IF(F136=CONCATENATE(G26,":",J26),Y26)+IF(F136=CONCATENATE(G28,":",J28),Y28)+IF(F136=CONCATENATE(P30,":",S30),Y30)+IF(F136=CONCATENATE(P32,":",S32),Y32)+IF(F136=CONCATENATE(P34,":",S34),Y34)+IF(F136=CONCATENATE(P36,":",S36),Y36)</f>
        <v>0</v>
      </c>
      <c r="H136" s="70"/>
    </row>
    <row r="137" spans="2:8" s="64" customFormat="1" ht="15" x14ac:dyDescent="0.3">
      <c r="B137" s="68"/>
      <c r="F137" s="77" t="s">
        <v>252</v>
      </c>
      <c r="G137" s="79">
        <f>IF(F137=CONCATENATE(G14,":",J14),Y14)+IF(F137=CONCATENATE(G16,":",J16),Y16)+IF(F137=CONCATENATE(G18,":",J18),Y18)+IF(F137=CONCATENATE(G20,":",J20),Y20)+IF(F137=CONCATENATE(G22,":",J22),Y22)+IF(F137=CONCATENATE(G24,":",J24),Y24)+IF(F137=CONCATENATE(G26,":",J26),Y26)+IF(F137=CONCATENATE(G28,":",J28),Y28)+IF(F137=CONCATENATE(P30,":",S30),Y30)+IF(F137=CONCATENATE(P32,":",S32),Y32)+IF(F137=CONCATENATE(P34,":",S34),Y34)+IF(F137=CONCATENATE(P36,":",S36),Y36)</f>
        <v>0</v>
      </c>
      <c r="H137" s="70"/>
    </row>
    <row r="138" spans="2:8" s="64" customFormat="1" ht="15" x14ac:dyDescent="0.3">
      <c r="B138" s="68"/>
      <c r="F138" s="77" t="s">
        <v>294</v>
      </c>
      <c r="G138" s="79">
        <f>IF(F138=CONCATENATE(G14,":",J14),Y14)+IF(F138=CONCATENATE(G16,":",J16),Y16)+IF(F138=CONCATENATE(G18,":",J18),Y18)+IF(F138=CONCATENATE(G20,":",J20),Y20)+IF(F138=CONCATENATE(G22,":",J22),Y22)+IF(F138=CONCATENATE(G24,":",J24),Y24)+IF(F138=CONCATENATE(G26,":",J26),Y26)+IF(F138=CONCATENATE(G28,":",J28),Y28)+IF(F138=CONCATENATE(P30,":",S30),Y30)+IF(F138=CONCATENATE(P32,":",S32),Y32)+IF(F138=CONCATENATE(P34,":",S34),Y34)+IF(F138=CONCATENATE(P36,":",S36),Y36)</f>
        <v>0</v>
      </c>
      <c r="H138" s="70"/>
    </row>
    <row r="139" spans="2:8" s="64" customFormat="1" ht="15" x14ac:dyDescent="0.3">
      <c r="B139" s="68"/>
      <c r="F139" s="77" t="s">
        <v>315</v>
      </c>
      <c r="G139" s="79">
        <f>IF(F139=CONCATENATE(G14,":",J14),Y14)+IF(F139=CONCATENATE(G16,":",J16),Y16)+IF(F139=CONCATENATE(G18,":",J18),Y18)+IF(F139=CONCATENATE(G20,":",J20),Y20)+IF(F139=CONCATENATE(G22,":",J22),Y22)+IF(F139=CONCATENATE(G24,":",J24),Y24)+IF(F139=CONCATENATE(G26,":",J26),Y26)+IF(F139=CONCATENATE(G28,":",J28),Y28)+IF(F139=CONCATENATE(P30,":",S30),Y30)+IF(F139=CONCATENATE(P32,":",S32),Y32)+IF(F139=CONCATENATE(P34,":",S34),Y34)+IF(F139=CONCATENATE(P36,":",S36),Y36)</f>
        <v>0</v>
      </c>
      <c r="H139" s="70"/>
    </row>
    <row r="140" spans="2:8" s="64" customFormat="1" ht="15" x14ac:dyDescent="0.3">
      <c r="B140" s="68"/>
      <c r="F140" s="77" t="s">
        <v>319</v>
      </c>
      <c r="G140" s="79">
        <f>IF(F140=CONCATENATE(G14,":",J14),Y14)+IF(F140=CONCATENATE(G16,":",J16),Y16)+IF(F140=CONCATENATE(G18,":",J18),Y18)+IF(F140=CONCATENATE(G20,":",J20),Y20)+IF(F140=CONCATENATE(G22,":",J22),Y22)+IF(F140=CONCATENATE(G24,":",J24),Y24)+IF(F140=CONCATENATE(G26,":",J26),Y26)+IF(F140=CONCATENATE(G28,":",J28),Y28)+IF(F140=CONCATENATE(P30,":",S30),Y30)+IF(F140=CONCATENATE(P32,":",S32),Y32)+IF(F140=CONCATENATE(P34,":",S34),Y34)+IF(F140=CONCATENATE(P36,":",S36),Y36)</f>
        <v>0</v>
      </c>
      <c r="H140" s="70"/>
    </row>
    <row r="141" spans="2:8" s="64" customFormat="1" ht="15" x14ac:dyDescent="0.3">
      <c r="B141" s="68"/>
      <c r="F141" s="77" t="s">
        <v>282</v>
      </c>
      <c r="G141" s="79">
        <f>IF(F141=CONCATENATE(G14,":",J14),Y14)+IF(F141=CONCATENATE(G16,":",J16),Y16)+IF(F141=CONCATENATE(G18,":",J18),Y18)+IF(F141=CONCATENATE(G20,":",J20),Y20)+IF(F141=CONCATENATE(G22,":",J22),Y22)+IF(F141=CONCATENATE(G24,":",J24),Y24)+IF(F141=CONCATENATE(G26,":",J26),Y26)+IF(F141=CONCATENATE(G28,":",J28),Y28)+IF(F141=CONCATENATE(P30,":",S30),Y30)+IF(F141=CONCATENATE(P32,":",S32),Y32)+IF(F141=CONCATENATE(P34,":",S34),Y34)+IF(F141=CONCATENATE(P36,":",S36),Y36)</f>
        <v>0</v>
      </c>
      <c r="H141" s="70"/>
    </row>
    <row r="142" spans="2:8" s="64" customFormat="1" ht="15" x14ac:dyDescent="0.3">
      <c r="B142" s="71"/>
      <c r="C142" s="72"/>
      <c r="D142" s="72"/>
      <c r="E142" s="72"/>
      <c r="F142" s="81" t="s">
        <v>283</v>
      </c>
      <c r="G142" s="76">
        <f>IF(F142=CONCATENATE(G14,":",J14),Y14)+IF(F142=CONCATENATE(G16,":",J16),Y16)+IF(F142=CONCATENATE(G18,":",J18),Y18)+IF(F142=CONCATENATE(G20,":",J20),Y20)+IF(F142=CONCATENATE(G22,":",J22),Y22)+IF(F142=CONCATENATE(G24,":",J24),Y24)+IF(F142=CONCATENATE(G26,":",J26),Y26)+IF(F142=CONCATENATE(G28,":",J28),Y28)+IF(F142=CONCATENATE(P30,":",S30),Y30)+IF(F142=CONCATENATE(P32,":",S32),Y32)+IF(F142=CONCATENATE(P34,":",S34),Y34)+IF(F142=CONCATENATE(P36,":",S36),Y36)</f>
        <v>0</v>
      </c>
      <c r="H142" s="73"/>
    </row>
    <row r="143" spans="2:8" s="64" customFormat="1" x14ac:dyDescent="0.3"/>
  </sheetData>
  <mergeCells count="1">
    <mergeCell ref="D4:G4"/>
  </mergeCells>
  <dataValidations count="9">
    <dataValidation type="list" showInputMessage="1" showErrorMessage="1" error="please select from list values" prompt="select product when applicable" sqref="M14 M16 M18 M26 M32 M34 M36 M20 M22 M24 M30 M28">
      <formula1>IF(D14="Customer",Primary,INDIRECT("formdata!A2"))</formula1>
    </dataValidation>
    <dataValidation type="list" showInputMessage="1" showErrorMessage="1" error="please select from list values" prompt="select interaction when applicable" sqref="P14 P34 P32 P26 P18 P16 P36 P20 P22 P24 P30 P28">
      <formula1>IF(D14="Customer",Interaction,INDIRECT("formdata!A2"))</formula1>
    </dataValidation>
    <dataValidation type="list" showInputMessage="1" showErrorMessage="1" error="please select from list values" prompt="select sub-type when applicable" sqref="S14 S34 S32 S18 S26 S16 S36 S20 S22 S24 S30 S28">
      <formula1>IF(D14="Customer",INDIRECT(P14),INDIRECT(G14))</formula1>
    </dataValidation>
    <dataValidation type="list" allowBlank="1" showInputMessage="1" showErrorMessage="1" prompt="select CSA" sqref="D4">
      <formula1>Names</formula1>
    </dataValidation>
    <dataValidation type="date" operator="greaterThan" allowBlank="1" showInputMessage="1" showErrorMessage="1" prompt="enter date" sqref="D6">
      <formula1>42005</formula1>
    </dataValidation>
    <dataValidation type="list" allowBlank="1" showInputMessage="1" showErrorMessage="1" sqref="D5">
      <formula1>Names</formula1>
    </dataValidation>
    <dataValidation type="list" showInputMessage="1" showErrorMessage="1" error="please select from list values" prompt="please select category" sqref="G26 G16 G18 G32 G14 G34 G36 G20 G22 G24 G30 G28">
      <formula1>INDIRECT(D14)</formula1>
    </dataValidation>
    <dataValidation type="list" showInputMessage="1" showErrorMessage="1" sqref="D16 D32 D18 D26 D14 D34 D36 D20 D22 D24 D30 D28">
      <formula1>Utilizations</formula1>
    </dataValidation>
    <dataValidation type="list" showInputMessage="1" showErrorMessage="1" errorTitle="&lt;&lt;SELECTION ERROR&gt;&gt;" error="please select from list values" prompt="select customer when applicable" sqref="J22 J16 J18 J20 J24 J26 J28 J30 J32 J34 J36 J14">
      <formula1>IF(D14="Customer",INDIRECT(G14),IF(D14="Travel",ALL_Customers,INDIRECT("formdata!A2")))</formula1>
    </dataValidation>
  </dataValidations>
  <pageMargins left="0.7" right="0.7" top="0.75" bottom="0.75" header="0.3" footer="0.3"/>
  <pageSetup orientation="portrait" horizontalDpi="4294967293" verticalDpi="4294967293" r:id="rId1"/>
  <drawing r:id="rId2"/>
  <picture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G142"/>
  <sheetViews>
    <sheetView tabSelected="1" zoomScaleNormal="100" workbookViewId="0"/>
  </sheetViews>
  <sheetFormatPr defaultRowHeight="14.4" x14ac:dyDescent="0.3"/>
  <cols>
    <col min="1" max="1" width="1.77734375" style="3" customWidth="1"/>
    <col min="2" max="2" width="16.77734375" style="3" customWidth="1"/>
    <col min="3" max="3" width="1.77734375" style="3" customWidth="1"/>
    <col min="4" max="4" width="12.77734375" style="3" customWidth="1"/>
    <col min="5" max="5" width="1.77734375" style="3" customWidth="1"/>
    <col min="6" max="6" width="2.77734375" style="3" customWidth="1"/>
    <col min="7" max="7" width="12.77734375" style="3" customWidth="1"/>
    <col min="8" max="8" width="1.77734375" style="3" customWidth="1"/>
    <col min="9" max="9" width="2.77734375" style="3" customWidth="1"/>
    <col min="10" max="10" width="12.77734375" style="3" customWidth="1"/>
    <col min="11" max="11" width="1.77734375" style="3" customWidth="1"/>
    <col min="12" max="12" width="2.77734375" style="3" customWidth="1"/>
    <col min="13" max="13" width="12.77734375" style="3" customWidth="1"/>
    <col min="14" max="14" width="1.77734375" style="3" customWidth="1"/>
    <col min="15" max="15" width="2.77734375" style="3" customWidth="1"/>
    <col min="16" max="16" width="12.77734375" style="3" customWidth="1"/>
    <col min="17" max="17" width="1.77734375" style="3" customWidth="1"/>
    <col min="18" max="18" width="2.77734375" style="3" customWidth="1"/>
    <col min="19" max="19" width="12.77734375" style="3" customWidth="1"/>
    <col min="20" max="20" width="1.77734375" style="3" customWidth="1"/>
    <col min="21" max="21" width="2.77734375" style="3" customWidth="1"/>
    <col min="22" max="22" width="12.77734375" style="3" customWidth="1"/>
    <col min="23" max="23" width="1.77734375" style="3" customWidth="1"/>
    <col min="24" max="24" width="2.77734375" style="3" customWidth="1"/>
    <col min="25" max="25" width="12.77734375" style="3" customWidth="1"/>
    <col min="26" max="26" width="1.77734375" style="3" customWidth="1"/>
    <col min="27" max="27" width="2.77734375" style="3" customWidth="1"/>
    <col min="28" max="28" width="12.77734375" style="3" customWidth="1"/>
    <col min="29" max="29" width="1.77734375" style="3" customWidth="1"/>
    <col min="30" max="30" width="2.77734375" style="3" customWidth="1"/>
    <col min="31" max="31" width="12.77734375" style="3" customWidth="1"/>
    <col min="32" max="32" width="1.77734375" style="3" customWidth="1"/>
    <col min="33" max="33" width="2.77734375" style="3" customWidth="1"/>
    <col min="34" max="16384" width="8.88671875" style="3"/>
  </cols>
  <sheetData>
    <row r="1" spans="2:33" ht="7.95" customHeight="1" x14ac:dyDescent="0.3"/>
    <row r="2" spans="2:33" s="5" customFormat="1" ht="22.05" customHeight="1" x14ac:dyDescent="0.4">
      <c r="B2" s="15" t="s">
        <v>219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</row>
    <row r="3" spans="2:33" ht="7.95" customHeight="1" x14ac:dyDescent="0.3"/>
    <row r="4" spans="2:33" s="5" customFormat="1" ht="18" customHeight="1" x14ac:dyDescent="0.35">
      <c r="B4" s="6" t="s">
        <v>0</v>
      </c>
      <c r="D4" s="82" t="s">
        <v>1</v>
      </c>
      <c r="E4" s="83"/>
      <c r="F4" s="83"/>
      <c r="G4" s="84"/>
    </row>
    <row r="5" spans="2:33" s="5" customFormat="1" ht="12" customHeight="1" x14ac:dyDescent="0.3">
      <c r="B5" s="6"/>
    </row>
    <row r="6" spans="2:33" s="21" customFormat="1" ht="18" customHeight="1" x14ac:dyDescent="0.3">
      <c r="B6" s="22" t="s">
        <v>217</v>
      </c>
      <c r="D6" s="23">
        <f>MONDAY!D6</f>
        <v>42303</v>
      </c>
      <c r="G6" s="23">
        <f>TUESDAY!D6</f>
        <v>42304</v>
      </c>
      <c r="J6" s="23">
        <f>WEDNESDAY!D6</f>
        <v>42305</v>
      </c>
      <c r="M6" s="23">
        <f>THURSDAY!D6</f>
        <v>42306</v>
      </c>
      <c r="P6" s="23">
        <f>FRIDAY!D6</f>
        <v>42307</v>
      </c>
      <c r="S6" s="23">
        <f>SATURDAY!D6</f>
        <v>42308</v>
      </c>
      <c r="V6" s="23">
        <f>SUNDAY!D6</f>
        <v>42309</v>
      </c>
    </row>
    <row r="7" spans="2:33" s="5" customFormat="1" ht="18" customHeight="1" x14ac:dyDescent="0.3">
      <c r="D7" s="25" t="str">
        <f>UPPER(TEXT(D6,"DDDD"))</f>
        <v>MONDAY</v>
      </c>
      <c r="G7" s="25" t="str">
        <f>UPPER(TEXT(G6,"DDDD"))</f>
        <v>TUESDAY</v>
      </c>
      <c r="J7" s="25" t="str">
        <f>UPPER(TEXT(J6,"DDDD"))</f>
        <v>WEDNESDAY</v>
      </c>
      <c r="M7" s="25" t="str">
        <f>UPPER(TEXT(M6,"DDDD"))</f>
        <v>THURSDAY</v>
      </c>
      <c r="P7" s="25" t="str">
        <f>UPPER(TEXT(P6,"DDDD"))</f>
        <v>FRIDAY</v>
      </c>
      <c r="S7" s="25" t="str">
        <f>UPPER(TEXT(S6,"DDDD"))</f>
        <v>SATURDAY</v>
      </c>
      <c r="V7" s="25" t="str">
        <f>UPPER(TEXT(V6,"DDDD"))</f>
        <v>SUNDAY</v>
      </c>
      <c r="Y7" s="25" t="s">
        <v>218</v>
      </c>
    </row>
    <row r="8" spans="2:33" ht="12" customHeight="1" x14ac:dyDescent="0.3"/>
    <row r="9" spans="2:33" s="21" customFormat="1" ht="18" customHeight="1" x14ac:dyDescent="0.3">
      <c r="B9" s="22" t="s">
        <v>27</v>
      </c>
      <c r="D9" s="24">
        <f>MONDAY!D8</f>
        <v>8</v>
      </c>
      <c r="G9" s="24">
        <f>TUESDAY!D8</f>
        <v>8</v>
      </c>
      <c r="J9" s="24">
        <f>WEDNESDAY!D8</f>
        <v>8.5</v>
      </c>
      <c r="M9" s="24">
        <f>THURSDAY!D8</f>
        <v>5</v>
      </c>
      <c r="P9" s="24">
        <f>FRIDAY!D8</f>
        <v>7</v>
      </c>
      <c r="S9" s="24">
        <f>SATURDAY!D8</f>
        <v>0.5</v>
      </c>
      <c r="V9" s="24">
        <f>SUNDAY!D8</f>
        <v>13</v>
      </c>
      <c r="Y9" s="24">
        <f>SUM(D9:V9)</f>
        <v>50</v>
      </c>
    </row>
    <row r="10" spans="2:33" s="5" customFormat="1" ht="12" customHeight="1" x14ac:dyDescent="0.3">
      <c r="B10" s="6"/>
      <c r="P10" s="6"/>
      <c r="V10" s="6"/>
      <c r="Y10" s="7"/>
    </row>
    <row r="11" spans="2:33" ht="14.4" customHeight="1" x14ac:dyDescent="0.3"/>
    <row r="12" spans="2:33" ht="14.4" customHeight="1" x14ac:dyDescent="0.3">
      <c r="B12" s="22"/>
    </row>
    <row r="13" spans="2:33" s="5" customFormat="1" ht="14.4" customHeight="1" x14ac:dyDescent="0.3">
      <c r="B13" s="6"/>
      <c r="P13" s="6"/>
      <c r="V13" s="6"/>
      <c r="Y13" s="7"/>
    </row>
    <row r="14" spans="2:33" ht="14.4" customHeight="1" x14ac:dyDescent="0.3"/>
    <row r="15" spans="2:33" ht="14.4" customHeight="1" x14ac:dyDescent="0.3"/>
    <row r="16" spans="2:33" ht="14.4" customHeight="1" x14ac:dyDescent="0.3"/>
    <row r="17" spans="2:25" s="5" customFormat="1" ht="14.4" customHeight="1" x14ac:dyDescent="0.3">
      <c r="B17" s="6"/>
      <c r="P17" s="6"/>
      <c r="V17" s="6"/>
      <c r="Y17" s="7"/>
    </row>
    <row r="18" spans="2:25" ht="14.4" customHeight="1" x14ac:dyDescent="0.3"/>
    <row r="19" spans="2:25" ht="14.4" customHeight="1" x14ac:dyDescent="0.3"/>
    <row r="20" spans="2:25" ht="14.4" customHeight="1" x14ac:dyDescent="0.3"/>
    <row r="21" spans="2:25" s="5" customFormat="1" ht="14.4" customHeight="1" x14ac:dyDescent="0.3">
      <c r="B21" s="6"/>
      <c r="P21" s="6"/>
      <c r="V21" s="6"/>
      <c r="Y21" s="7"/>
    </row>
    <row r="22" spans="2:25" ht="14.4" customHeight="1" x14ac:dyDescent="0.3"/>
    <row r="23" spans="2:25" ht="14.4" customHeight="1" x14ac:dyDescent="0.3"/>
    <row r="24" spans="2:25" ht="14.4" customHeight="1" x14ac:dyDescent="0.3"/>
    <row r="25" spans="2:25" s="5" customFormat="1" ht="14.4" customHeight="1" x14ac:dyDescent="0.3">
      <c r="B25" s="6"/>
      <c r="P25" s="6"/>
      <c r="V25" s="6"/>
      <c r="Y25" s="7"/>
    </row>
    <row r="26" spans="2:25" ht="14.4" customHeight="1" x14ac:dyDescent="0.3"/>
    <row r="27" spans="2:25" ht="14.4" customHeight="1" x14ac:dyDescent="0.3"/>
    <row r="28" spans="2:25" x14ac:dyDescent="0.3">
      <c r="B28" s="22"/>
    </row>
    <row r="29" spans="2:25" s="5" customFormat="1" ht="14.4" customHeight="1" x14ac:dyDescent="0.3">
      <c r="B29" s="6"/>
      <c r="P29" s="6"/>
      <c r="V29" s="6"/>
      <c r="Y29" s="7"/>
    </row>
    <row r="45" spans="2:25" x14ac:dyDescent="0.3">
      <c r="B45" s="19" t="s">
        <v>210</v>
      </c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2:25" ht="4.95" customHeight="1" x14ac:dyDescent="0.3"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</row>
    <row r="47" spans="2:25" ht="15" x14ac:dyDescent="0.3">
      <c r="B47" s="31"/>
      <c r="C47" s="43" t="s">
        <v>204</v>
      </c>
      <c r="D47" s="46">
        <f>SUM(MONDAY!D47,TUESDAY!D47,WEDNESDAY!D47,THURSDAY!D47,FRIDAY!D47,SATURDAY!D47,SUNDAY!D47)</f>
        <v>6</v>
      </c>
      <c r="E47" s="33"/>
      <c r="I47" s="18"/>
    </row>
    <row r="48" spans="2:25" ht="15" x14ac:dyDescent="0.3">
      <c r="B48" s="34"/>
      <c r="C48" s="44" t="s">
        <v>202</v>
      </c>
      <c r="D48" s="47">
        <f>SUM(MONDAY!D48,TUESDAY!D48,WEDNESDAY!D48,THURSDAY!D48,FRIDAY!D48,SATURDAY!D48,SUNDAY!D48)</f>
        <v>18.5</v>
      </c>
      <c r="E48" s="36"/>
      <c r="I48" s="18"/>
    </row>
    <row r="49" spans="2:9" ht="15" x14ac:dyDescent="0.3">
      <c r="B49" s="34"/>
      <c r="C49" s="44" t="s">
        <v>203</v>
      </c>
      <c r="D49" s="47">
        <f>SUM(MONDAY!D49,TUESDAY!D49,WEDNESDAY!D49,THURSDAY!D49,FRIDAY!D49,SATURDAY!D49,SUNDAY!D49)</f>
        <v>0</v>
      </c>
      <c r="E49" s="36"/>
      <c r="I49" s="18"/>
    </row>
    <row r="50" spans="2:9" ht="15" x14ac:dyDescent="0.3">
      <c r="B50" s="34"/>
      <c r="C50" s="44" t="s">
        <v>162</v>
      </c>
      <c r="D50" s="47">
        <f>SUM(MONDAY!D50,TUESDAY!D50,WEDNESDAY!D50,THURSDAY!D50,FRIDAY!D50,SATURDAY!D50,SUNDAY!D50)</f>
        <v>0</v>
      </c>
      <c r="E50" s="36"/>
      <c r="I50" s="18"/>
    </row>
    <row r="51" spans="2:9" ht="15" x14ac:dyDescent="0.3">
      <c r="B51" s="34"/>
      <c r="C51" s="44" t="s">
        <v>209</v>
      </c>
      <c r="D51" s="47">
        <f>SUM(MONDAY!D51,TUESDAY!D51,WEDNESDAY!D51,THURSDAY!D51,FRIDAY!D51,SATURDAY!D51,SUNDAY!D51)</f>
        <v>0</v>
      </c>
      <c r="E51" s="36"/>
    </row>
    <row r="52" spans="2:9" ht="15" x14ac:dyDescent="0.3">
      <c r="B52" s="34"/>
      <c r="C52" s="44" t="s">
        <v>127</v>
      </c>
      <c r="D52" s="47">
        <f>SUM(MONDAY!D52,TUESDAY!D52,WEDNESDAY!D52,THURSDAY!D52,FRIDAY!D52,SATURDAY!D52,SUNDAY!D52)</f>
        <v>0</v>
      </c>
      <c r="E52" s="36"/>
    </row>
    <row r="53" spans="2:9" ht="15" x14ac:dyDescent="0.3">
      <c r="B53" s="34"/>
      <c r="C53" s="44" t="s">
        <v>206</v>
      </c>
      <c r="D53" s="47">
        <f>SUM(MONDAY!D53,TUESDAY!D53,WEDNESDAY!D53,THURSDAY!D53,FRIDAY!D53,SATURDAY!D53,SUNDAY!D53)</f>
        <v>0</v>
      </c>
      <c r="E53" s="36"/>
    </row>
    <row r="54" spans="2:9" ht="15" x14ac:dyDescent="0.3">
      <c r="B54" s="37"/>
      <c r="C54" s="45" t="s">
        <v>207</v>
      </c>
      <c r="D54" s="48">
        <f>SUM(MONDAY!D54,TUESDAY!D54,WEDNESDAY!D54,THURSDAY!D54,FRIDAY!D54,SATURDAY!D54,SUNDAY!D54)</f>
        <v>0</v>
      </c>
      <c r="E54" s="39"/>
    </row>
    <row r="57" spans="2:9" ht="15" x14ac:dyDescent="0.3">
      <c r="B57" s="31"/>
      <c r="C57" s="43" t="s">
        <v>7</v>
      </c>
      <c r="D57" s="46">
        <f>SUM(MONDAY!D57,TUESDAY!D57,WEDNESDAY!D57,THURSDAY!D57,FRIDAY!D57,SATURDAY!D57,SUNDAY!D57)</f>
        <v>24.5</v>
      </c>
      <c r="E57" s="33"/>
    </row>
    <row r="58" spans="2:9" ht="15" x14ac:dyDescent="0.3">
      <c r="B58" s="34"/>
      <c r="C58" s="44" t="s">
        <v>6</v>
      </c>
      <c r="D58" s="47">
        <f>SUM(MONDAY!D58,TUESDAY!D58,WEDNESDAY!D58,THURSDAY!D58,FRIDAY!D58,SATURDAY!D58,SUNDAY!D58)</f>
        <v>10.5</v>
      </c>
      <c r="E58" s="36"/>
    </row>
    <row r="59" spans="2:9" ht="15" x14ac:dyDescent="0.3">
      <c r="B59" s="34"/>
      <c r="C59" s="44" t="s">
        <v>9</v>
      </c>
      <c r="D59" s="47">
        <f>SUM(MONDAY!D59,TUESDAY!D59,WEDNESDAY!D59,THURSDAY!D59,FRIDAY!D59,SATURDAY!D59,SUNDAY!D59)</f>
        <v>2</v>
      </c>
      <c r="E59" s="36"/>
    </row>
    <row r="60" spans="2:9" ht="15" x14ac:dyDescent="0.3">
      <c r="B60" s="37"/>
      <c r="C60" s="45" t="s">
        <v>8</v>
      </c>
      <c r="D60" s="48">
        <f>SUM(MONDAY!D60,TUESDAY!D60,WEDNESDAY!D60,THURSDAY!D60,FRIDAY!D60,SATURDAY!D60,SUNDAY!D60)</f>
        <v>13</v>
      </c>
      <c r="E60" s="39"/>
    </row>
    <row r="63" spans="2:9" ht="15" x14ac:dyDescent="0.3">
      <c r="B63" s="31"/>
      <c r="C63" s="32"/>
      <c r="D63" s="32"/>
      <c r="E63" s="32"/>
      <c r="F63" s="40" t="s">
        <v>253</v>
      </c>
      <c r="G63" s="74">
        <f>SUM(MONDAY!G63,TUESDAY!G63,WEDNESDAY!G63,THURSDAY!G63,FRIDAY!G63,SATURDAY!G63,SUNDAY!G63)</f>
        <v>0</v>
      </c>
      <c r="H63" s="33"/>
    </row>
    <row r="64" spans="2:9" ht="15" x14ac:dyDescent="0.3">
      <c r="B64" s="34"/>
      <c r="C64" s="35"/>
      <c r="D64" s="35"/>
      <c r="E64" s="35"/>
      <c r="F64" s="41" t="s">
        <v>254</v>
      </c>
      <c r="G64" s="75">
        <f>SUM(MONDAY!G64,TUESDAY!G64,WEDNESDAY!G64,THURSDAY!G64,FRIDAY!G64,SATURDAY!G64,SUNDAY!G64)</f>
        <v>0</v>
      </c>
      <c r="H64" s="36"/>
    </row>
    <row r="65" spans="2:8" ht="15" x14ac:dyDescent="0.3">
      <c r="B65" s="34"/>
      <c r="C65" s="35"/>
      <c r="D65" s="35"/>
      <c r="E65" s="35"/>
      <c r="F65" s="41" t="s">
        <v>255</v>
      </c>
      <c r="G65" s="75">
        <f>SUM(MONDAY!G65,TUESDAY!G65,WEDNESDAY!G65,THURSDAY!G65,FRIDAY!G65,SATURDAY!G65,SUNDAY!G65)</f>
        <v>0</v>
      </c>
      <c r="H65" s="36"/>
    </row>
    <row r="66" spans="2:8" s="64" customFormat="1" ht="15" x14ac:dyDescent="0.3">
      <c r="B66" s="68"/>
      <c r="C66" s="69"/>
      <c r="D66" s="69"/>
      <c r="E66" s="69"/>
      <c r="F66" s="41" t="s">
        <v>297</v>
      </c>
      <c r="G66" s="75">
        <f>SUM(MONDAY!G66,TUESDAY!G66,WEDNESDAY!G66,THURSDAY!G66,FRIDAY!G66,SATURDAY!G66,SUNDAY!G66)</f>
        <v>0</v>
      </c>
      <c r="H66" s="70"/>
    </row>
    <row r="67" spans="2:8" ht="15" x14ac:dyDescent="0.3">
      <c r="B67" s="34"/>
      <c r="C67" s="35"/>
      <c r="D67" s="35"/>
      <c r="E67" s="35"/>
      <c r="F67" s="41" t="s">
        <v>256</v>
      </c>
      <c r="G67" s="75">
        <f>SUM(MONDAY!G67,TUESDAY!G67,WEDNESDAY!G67,THURSDAY!G67,FRIDAY!G67,SATURDAY!G67,SUNDAY!G67)</f>
        <v>0</v>
      </c>
      <c r="H67" s="36"/>
    </row>
    <row r="68" spans="2:8" ht="15" x14ac:dyDescent="0.3">
      <c r="B68" s="34"/>
      <c r="C68" s="35"/>
      <c r="D68" s="35"/>
      <c r="E68" s="35"/>
      <c r="F68" s="41" t="s">
        <v>257</v>
      </c>
      <c r="G68" s="75">
        <f>SUM(MONDAY!G68,TUESDAY!G68,WEDNESDAY!G68,THURSDAY!G68,FRIDAY!G68,SATURDAY!G68,SUNDAY!G68)</f>
        <v>0</v>
      </c>
      <c r="H68" s="36"/>
    </row>
    <row r="69" spans="2:8" ht="15" x14ac:dyDescent="0.3">
      <c r="B69" s="34"/>
      <c r="C69" s="35"/>
      <c r="D69" s="35"/>
      <c r="E69" s="35"/>
      <c r="F69" s="41" t="s">
        <v>258</v>
      </c>
      <c r="G69" s="75">
        <f>SUM(MONDAY!G69,TUESDAY!G69,WEDNESDAY!G69,THURSDAY!G69,FRIDAY!G69,SATURDAY!G69,SUNDAY!G69)</f>
        <v>6</v>
      </c>
      <c r="H69" s="36"/>
    </row>
    <row r="70" spans="2:8" ht="15" x14ac:dyDescent="0.3">
      <c r="B70" s="34"/>
      <c r="C70" s="35"/>
      <c r="D70" s="35"/>
      <c r="E70" s="35"/>
      <c r="F70" s="41" t="s">
        <v>259</v>
      </c>
      <c r="G70" s="75">
        <f>SUM(MONDAY!G70,TUESDAY!G70,WEDNESDAY!G70,THURSDAY!G70,FRIDAY!G70,SATURDAY!G70,SUNDAY!G70)</f>
        <v>0</v>
      </c>
      <c r="H70" s="36"/>
    </row>
    <row r="71" spans="2:8" ht="15" x14ac:dyDescent="0.3">
      <c r="B71" s="34"/>
      <c r="C71" s="35"/>
      <c r="D71" s="35"/>
      <c r="E71" s="35"/>
      <c r="F71" s="41" t="s">
        <v>260</v>
      </c>
      <c r="G71" s="75">
        <f>SUM(MONDAY!G71,TUESDAY!G71,WEDNESDAY!G71,THURSDAY!G71,FRIDAY!G71,SATURDAY!G71,SUNDAY!G71)</f>
        <v>0</v>
      </c>
      <c r="H71" s="36"/>
    </row>
    <row r="72" spans="2:8" ht="15" x14ac:dyDescent="0.3">
      <c r="B72" s="34"/>
      <c r="C72" s="35"/>
      <c r="D72" s="35"/>
      <c r="E72" s="35"/>
      <c r="F72" s="41" t="s">
        <v>261</v>
      </c>
      <c r="G72" s="75">
        <f>SUM(MONDAY!G72,TUESDAY!G72,WEDNESDAY!G72,THURSDAY!G72,FRIDAY!G72,SATURDAY!G72,SUNDAY!G72)</f>
        <v>0</v>
      </c>
      <c r="H72" s="36"/>
    </row>
    <row r="73" spans="2:8" ht="15" x14ac:dyDescent="0.3">
      <c r="B73" s="34"/>
      <c r="C73" s="35"/>
      <c r="D73" s="35"/>
      <c r="E73" s="35"/>
      <c r="F73" s="41" t="s">
        <v>262</v>
      </c>
      <c r="G73" s="75">
        <f>SUM(MONDAY!G73,TUESDAY!G73,WEDNESDAY!G73,THURSDAY!G73,FRIDAY!G73,SATURDAY!G73,SUNDAY!G73)</f>
        <v>8</v>
      </c>
      <c r="H73" s="36"/>
    </row>
    <row r="74" spans="2:8" ht="15" x14ac:dyDescent="0.3">
      <c r="B74" s="34"/>
      <c r="C74" s="35"/>
      <c r="D74" s="35"/>
      <c r="E74" s="35"/>
      <c r="F74" s="41" t="s">
        <v>263</v>
      </c>
      <c r="G74" s="75">
        <f>SUM(MONDAY!G74,TUESDAY!G74,WEDNESDAY!G74,THURSDAY!G74,FRIDAY!G74,SATURDAY!G74,SUNDAY!G74)</f>
        <v>0</v>
      </c>
      <c r="H74" s="36"/>
    </row>
    <row r="75" spans="2:8" ht="15" x14ac:dyDescent="0.3">
      <c r="B75" s="34"/>
      <c r="C75" s="35"/>
      <c r="D75" s="35"/>
      <c r="E75" s="35"/>
      <c r="F75" s="41" t="s">
        <v>264</v>
      </c>
      <c r="G75" s="75">
        <f>SUM(MONDAY!G75,TUESDAY!G75,WEDNESDAY!G75,THURSDAY!G75,FRIDAY!G75,SATURDAY!G75,SUNDAY!G75)</f>
        <v>0</v>
      </c>
      <c r="H75" s="36"/>
    </row>
    <row r="76" spans="2:8" ht="15" x14ac:dyDescent="0.3">
      <c r="B76" s="34"/>
      <c r="C76" s="35"/>
      <c r="D76" s="35"/>
      <c r="E76" s="35"/>
      <c r="F76" s="41" t="s">
        <v>265</v>
      </c>
      <c r="G76" s="75">
        <f>SUM(MONDAY!G76,TUESDAY!G76,WEDNESDAY!G76,THURSDAY!G76,FRIDAY!G76,SATURDAY!G76,SUNDAY!G76)</f>
        <v>0</v>
      </c>
      <c r="H76" s="36"/>
    </row>
    <row r="77" spans="2:8" ht="15" x14ac:dyDescent="0.3">
      <c r="B77" s="34"/>
      <c r="C77" s="35"/>
      <c r="D77" s="35"/>
      <c r="E77" s="35"/>
      <c r="F77" s="41" t="s">
        <v>266</v>
      </c>
      <c r="G77" s="75">
        <f>SUM(MONDAY!G77,TUESDAY!G77,WEDNESDAY!G77,THURSDAY!G77,FRIDAY!G77,SATURDAY!G77,SUNDAY!G77)</f>
        <v>9.5</v>
      </c>
      <c r="H77" s="36"/>
    </row>
    <row r="78" spans="2:8" ht="15" x14ac:dyDescent="0.3">
      <c r="B78" s="34"/>
      <c r="C78" s="35"/>
      <c r="D78" s="35"/>
      <c r="E78" s="35"/>
      <c r="F78" s="41" t="s">
        <v>267</v>
      </c>
      <c r="G78" s="75">
        <f>SUM(MONDAY!G78,TUESDAY!G78,WEDNESDAY!G78,THURSDAY!G78,FRIDAY!G78,SATURDAY!G78,SUNDAY!G78)</f>
        <v>0</v>
      </c>
      <c r="H78" s="36"/>
    </row>
    <row r="79" spans="2:8" ht="15" x14ac:dyDescent="0.3">
      <c r="B79" s="34"/>
      <c r="C79" s="35"/>
      <c r="D79" s="35"/>
      <c r="E79" s="35"/>
      <c r="F79" s="41" t="s">
        <v>268</v>
      </c>
      <c r="G79" s="75">
        <f>SUM(MONDAY!G79,TUESDAY!G79,WEDNESDAY!G79,THURSDAY!G79,FRIDAY!G79,SATURDAY!G79,SUNDAY!G79)</f>
        <v>1</v>
      </c>
      <c r="H79" s="36"/>
    </row>
    <row r="80" spans="2:8" ht="15" x14ac:dyDescent="0.3">
      <c r="B80" s="34"/>
      <c r="C80" s="35"/>
      <c r="D80" s="35"/>
      <c r="E80" s="35"/>
      <c r="F80" s="41" t="s">
        <v>269</v>
      </c>
      <c r="G80" s="75">
        <f>SUM(MONDAY!G80,TUESDAY!G80,WEDNESDAY!G80,THURSDAY!G80,FRIDAY!G80,SATURDAY!G80,SUNDAY!G80)</f>
        <v>0</v>
      </c>
      <c r="H80" s="36"/>
    </row>
    <row r="81" spans="2:8" ht="15" x14ac:dyDescent="0.3">
      <c r="B81" s="34"/>
      <c r="C81" s="35"/>
      <c r="D81" s="35"/>
      <c r="E81" s="35"/>
      <c r="F81" s="41" t="s">
        <v>270</v>
      </c>
      <c r="G81" s="75">
        <f>SUM(MONDAY!G81,TUESDAY!G81,WEDNESDAY!G81,THURSDAY!G81,FRIDAY!G81,SATURDAY!G81,SUNDAY!G81)</f>
        <v>0</v>
      </c>
      <c r="H81" s="36"/>
    </row>
    <row r="82" spans="2:8" ht="15" x14ac:dyDescent="0.3">
      <c r="B82" s="34"/>
      <c r="C82" s="35"/>
      <c r="D82" s="35"/>
      <c r="E82" s="35"/>
      <c r="F82" s="41" t="s">
        <v>271</v>
      </c>
      <c r="G82" s="75">
        <f>SUM(MONDAY!G82,TUESDAY!G82,WEDNESDAY!G82,THURSDAY!G82,FRIDAY!G82,SATURDAY!G82,SUNDAY!G82)</f>
        <v>0</v>
      </c>
      <c r="H82" s="36"/>
    </row>
    <row r="83" spans="2:8" ht="15" x14ac:dyDescent="0.3">
      <c r="B83" s="34"/>
      <c r="C83" s="35"/>
      <c r="D83" s="35"/>
      <c r="E83" s="35"/>
      <c r="F83" s="41" t="s">
        <v>272</v>
      </c>
      <c r="G83" s="75">
        <f>SUM(MONDAY!G83,TUESDAY!G83,WEDNESDAY!G83,THURSDAY!G83,FRIDAY!G83,SATURDAY!G83,SUNDAY!G83)</f>
        <v>0</v>
      </c>
      <c r="H83" s="36"/>
    </row>
    <row r="84" spans="2:8" ht="15" x14ac:dyDescent="0.3">
      <c r="B84" s="34"/>
      <c r="C84" s="35"/>
      <c r="D84" s="35"/>
      <c r="E84" s="35"/>
      <c r="F84" s="41" t="s">
        <v>273</v>
      </c>
      <c r="G84" s="75">
        <f>SUM(MONDAY!G84,TUESDAY!G84,WEDNESDAY!G84,THURSDAY!G84,FRIDAY!G84,SATURDAY!G84,SUNDAY!G84)</f>
        <v>0</v>
      </c>
      <c r="H84" s="36"/>
    </row>
    <row r="85" spans="2:8" ht="15" x14ac:dyDescent="0.3">
      <c r="B85" s="34"/>
      <c r="C85" s="35"/>
      <c r="D85" s="35"/>
      <c r="E85" s="35"/>
      <c r="F85" s="41" t="s">
        <v>274</v>
      </c>
      <c r="G85" s="75">
        <f>SUM(MONDAY!G85,TUESDAY!G85,WEDNESDAY!G85,THURSDAY!G85,FRIDAY!G85,SATURDAY!G85,SUNDAY!G85)</f>
        <v>0</v>
      </c>
      <c r="H85" s="36"/>
    </row>
    <row r="86" spans="2:8" ht="15" x14ac:dyDescent="0.3">
      <c r="B86" s="37"/>
      <c r="C86" s="38"/>
      <c r="D86" s="38"/>
      <c r="E86" s="38"/>
      <c r="F86" s="42" t="s">
        <v>275</v>
      </c>
      <c r="G86" s="76">
        <f>SUM(MONDAY!G86,TUESDAY!G86,WEDNESDAY!G86,THURSDAY!G86,FRIDAY!G86,SATURDAY!G86,SUNDAY!G86)</f>
        <v>0</v>
      </c>
      <c r="H86" s="39"/>
    </row>
    <row r="89" spans="2:8" ht="15" x14ac:dyDescent="0.3">
      <c r="B89" s="65"/>
      <c r="C89" s="66"/>
      <c r="D89" s="66"/>
      <c r="E89" s="66"/>
      <c r="F89" s="78" t="s">
        <v>291</v>
      </c>
      <c r="G89" s="74">
        <f>SUM(MONDAY!G89,TUESDAY!G89,WEDNESDAY!G89,THURSDAY!G89,FRIDAY!G89,SATURDAY!G89,SUNDAY!G89)</f>
        <v>0</v>
      </c>
      <c r="H89" s="67"/>
    </row>
    <row r="90" spans="2:8" s="64" customFormat="1" ht="15" x14ac:dyDescent="0.3">
      <c r="B90" s="68"/>
      <c r="C90" s="69"/>
      <c r="D90" s="69"/>
      <c r="E90" s="69"/>
      <c r="F90" s="77" t="s">
        <v>221</v>
      </c>
      <c r="G90" s="75">
        <f>SUM(MONDAY!G90,TUESDAY!G90,WEDNESDAY!G90,THURSDAY!G90,FRIDAY!G90,SATURDAY!G90,SUNDAY!G90)</f>
        <v>0</v>
      </c>
      <c r="H90" s="70"/>
    </row>
    <row r="91" spans="2:8" ht="15" x14ac:dyDescent="0.3">
      <c r="B91" s="68"/>
      <c r="C91" s="69"/>
      <c r="D91" s="69"/>
      <c r="E91" s="69"/>
      <c r="F91" s="77" t="s">
        <v>281</v>
      </c>
      <c r="G91" s="75">
        <f>SUM(MONDAY!G91,TUESDAY!G91,WEDNESDAY!G91,THURSDAY!G91,FRIDAY!G91,SATURDAY!G91,SUNDAY!G91)</f>
        <v>0</v>
      </c>
      <c r="H91" s="70"/>
    </row>
    <row r="92" spans="2:8" ht="15" x14ac:dyDescent="0.3">
      <c r="B92" s="68"/>
      <c r="C92" s="69"/>
      <c r="D92" s="69"/>
      <c r="E92" s="69"/>
      <c r="F92" s="77" t="s">
        <v>222</v>
      </c>
      <c r="G92" s="75">
        <f>SUM(MONDAY!G92,TUESDAY!G92,WEDNESDAY!G92,THURSDAY!G92,FRIDAY!G92,SATURDAY!G92,SUNDAY!G92)</f>
        <v>0</v>
      </c>
      <c r="H92" s="70"/>
    </row>
    <row r="93" spans="2:8" ht="15" x14ac:dyDescent="0.3">
      <c r="B93" s="68"/>
      <c r="C93" s="69"/>
      <c r="D93" s="69"/>
      <c r="E93" s="69"/>
      <c r="F93" s="77" t="s">
        <v>223</v>
      </c>
      <c r="G93" s="75">
        <f>SUM(MONDAY!G93,TUESDAY!G93,WEDNESDAY!G93,THURSDAY!G93,FRIDAY!G93,SATURDAY!G93,SUNDAY!G93)</f>
        <v>0</v>
      </c>
      <c r="H93" s="70"/>
    </row>
    <row r="94" spans="2:8" ht="15" x14ac:dyDescent="0.3">
      <c r="B94" s="68"/>
      <c r="C94" s="69"/>
      <c r="D94" s="69"/>
      <c r="E94" s="69"/>
      <c r="F94" s="77" t="s">
        <v>224</v>
      </c>
      <c r="G94" s="75">
        <f>SUM(MONDAY!G94,TUESDAY!G94,WEDNESDAY!G94,THURSDAY!G94,FRIDAY!G94,SATURDAY!G94,SUNDAY!G94)</f>
        <v>0</v>
      </c>
      <c r="H94" s="70"/>
    </row>
    <row r="95" spans="2:8" ht="15" x14ac:dyDescent="0.3">
      <c r="B95" s="68"/>
      <c r="C95" s="69"/>
      <c r="D95" s="69"/>
      <c r="E95" s="69"/>
      <c r="F95" s="77" t="s">
        <v>225</v>
      </c>
      <c r="G95" s="75">
        <f>SUM(MONDAY!G95,TUESDAY!G95,WEDNESDAY!G95,THURSDAY!G95,FRIDAY!G95,SATURDAY!G95,SUNDAY!G95)</f>
        <v>0</v>
      </c>
      <c r="H95" s="70"/>
    </row>
    <row r="96" spans="2:8" ht="15" x14ac:dyDescent="0.3">
      <c r="B96" s="68"/>
      <c r="C96" s="69"/>
      <c r="D96" s="69"/>
      <c r="E96" s="69"/>
      <c r="F96" s="77" t="s">
        <v>226</v>
      </c>
      <c r="G96" s="75">
        <f>SUM(MONDAY!G96,TUESDAY!G96,WEDNESDAY!G96,THURSDAY!G96,FRIDAY!G96,SATURDAY!G96,SUNDAY!G96)</f>
        <v>0</v>
      </c>
      <c r="H96" s="70"/>
    </row>
    <row r="97" spans="2:8" ht="15" x14ac:dyDescent="0.3">
      <c r="B97" s="68"/>
      <c r="C97" s="69"/>
      <c r="D97" s="69"/>
      <c r="E97" s="69"/>
      <c r="F97" s="77" t="s">
        <v>309</v>
      </c>
      <c r="G97" s="75">
        <f>SUM(MONDAY!G97,TUESDAY!G97,WEDNESDAY!G97,THURSDAY!G97,FRIDAY!G97,SATURDAY!G97,SUNDAY!G97)</f>
        <v>0</v>
      </c>
      <c r="H97" s="70"/>
    </row>
    <row r="98" spans="2:8" ht="15" x14ac:dyDescent="0.3">
      <c r="B98" s="68"/>
      <c r="C98" s="69"/>
      <c r="D98" s="69"/>
      <c r="E98" s="69"/>
      <c r="F98" s="77" t="s">
        <v>307</v>
      </c>
      <c r="G98" s="75">
        <f>SUM(MONDAY!G98,TUESDAY!G98,WEDNESDAY!G98,THURSDAY!G98,FRIDAY!G98,SATURDAY!G98,SUNDAY!G98)</f>
        <v>0</v>
      </c>
      <c r="H98" s="70"/>
    </row>
    <row r="99" spans="2:8" ht="15" x14ac:dyDescent="0.3">
      <c r="B99" s="68"/>
      <c r="C99" s="69"/>
      <c r="D99" s="69"/>
      <c r="E99" s="69"/>
      <c r="F99" s="77" t="s">
        <v>325</v>
      </c>
      <c r="G99" s="75">
        <f>SUM(MONDAY!G99,TUESDAY!G99,WEDNESDAY!G99,THURSDAY!G99,FRIDAY!G99,SATURDAY!G99,SUNDAY!G99)</f>
        <v>0</v>
      </c>
      <c r="H99" s="70"/>
    </row>
    <row r="100" spans="2:8" ht="15" x14ac:dyDescent="0.3">
      <c r="B100" s="68"/>
      <c r="C100" s="69"/>
      <c r="D100" s="69"/>
      <c r="E100" s="69"/>
      <c r="F100" s="77" t="s">
        <v>227</v>
      </c>
      <c r="G100" s="75">
        <f>SUM(MONDAY!G100,TUESDAY!G100,WEDNESDAY!G100,THURSDAY!G100,FRIDAY!G100,SATURDAY!G100,SUNDAY!G100)</f>
        <v>0</v>
      </c>
      <c r="H100" s="70"/>
    </row>
    <row r="101" spans="2:8" ht="15" x14ac:dyDescent="0.3">
      <c r="B101" s="68"/>
      <c r="C101" s="69"/>
      <c r="D101" s="69"/>
      <c r="E101" s="69"/>
      <c r="F101" s="77" t="s">
        <v>228</v>
      </c>
      <c r="G101" s="75">
        <f>SUM(MONDAY!G101,TUESDAY!G101,WEDNESDAY!G101,THURSDAY!G101,FRIDAY!G101,SATURDAY!G101,SUNDAY!G101)</f>
        <v>0</v>
      </c>
      <c r="H101" s="70"/>
    </row>
    <row r="102" spans="2:8" ht="15" x14ac:dyDescent="0.3">
      <c r="B102" s="68"/>
      <c r="C102" s="69"/>
      <c r="D102" s="69"/>
      <c r="E102" s="69"/>
      <c r="F102" s="77" t="s">
        <v>229</v>
      </c>
      <c r="G102" s="75">
        <f>SUM(MONDAY!G102,TUESDAY!G102,WEDNESDAY!G102,THURSDAY!G102,FRIDAY!G102,SATURDAY!G102,SUNDAY!G102)</f>
        <v>0</v>
      </c>
      <c r="H102" s="70"/>
    </row>
    <row r="103" spans="2:8" s="64" customFormat="1" ht="15" x14ac:dyDescent="0.3">
      <c r="B103" s="68"/>
      <c r="C103" s="69"/>
      <c r="D103" s="69"/>
      <c r="E103" s="69"/>
      <c r="F103" s="77" t="s">
        <v>230</v>
      </c>
      <c r="G103" s="75">
        <f>SUM(MONDAY!G103,TUESDAY!G103,WEDNESDAY!G103,THURSDAY!G103,FRIDAY!G103,SATURDAY!G103,SUNDAY!G103)</f>
        <v>0</v>
      </c>
      <c r="H103" s="70"/>
    </row>
    <row r="104" spans="2:8" ht="15" x14ac:dyDescent="0.3">
      <c r="B104" s="68"/>
      <c r="C104" s="69"/>
      <c r="D104" s="69"/>
      <c r="E104" s="69"/>
      <c r="F104" s="77" t="s">
        <v>231</v>
      </c>
      <c r="G104" s="75">
        <f>SUM(MONDAY!G104,TUESDAY!G104,WEDNESDAY!G104,THURSDAY!G104,FRIDAY!G104,SATURDAY!G104,SUNDAY!G104)</f>
        <v>0</v>
      </c>
      <c r="H104" s="70"/>
    </row>
    <row r="105" spans="2:8" ht="15" x14ac:dyDescent="0.3">
      <c r="B105" s="68"/>
      <c r="C105" s="69"/>
      <c r="D105" s="69"/>
      <c r="E105" s="69"/>
      <c r="F105" s="77" t="s">
        <v>232</v>
      </c>
      <c r="G105" s="75">
        <f>SUM(MONDAY!G105,TUESDAY!G105,WEDNESDAY!G105,THURSDAY!G105,FRIDAY!G105,SATURDAY!G105,SUNDAY!G105)</f>
        <v>0</v>
      </c>
      <c r="H105" s="70"/>
    </row>
    <row r="106" spans="2:8" ht="15" x14ac:dyDescent="0.3">
      <c r="B106" s="68"/>
      <c r="C106" s="69"/>
      <c r="D106" s="69"/>
      <c r="E106" s="69"/>
      <c r="F106" s="77" t="s">
        <v>300</v>
      </c>
      <c r="G106" s="75">
        <f>SUM(MONDAY!G106,TUESDAY!G106,WEDNESDAY!G106,THURSDAY!G106,FRIDAY!G106,SATURDAY!G106,SUNDAY!G106)</f>
        <v>0</v>
      </c>
      <c r="H106" s="70"/>
    </row>
    <row r="107" spans="2:8" ht="15" x14ac:dyDescent="0.3">
      <c r="B107" s="68"/>
      <c r="C107" s="69"/>
      <c r="D107" s="69"/>
      <c r="E107" s="69"/>
      <c r="F107" s="77" t="s">
        <v>286</v>
      </c>
      <c r="G107" s="75">
        <f>SUM(MONDAY!G107,TUESDAY!G107,WEDNESDAY!G107,THURSDAY!G107,FRIDAY!G107,SATURDAY!G107,SUNDAY!G107)</f>
        <v>0</v>
      </c>
      <c r="H107" s="70"/>
    </row>
    <row r="108" spans="2:8" ht="15" x14ac:dyDescent="0.3">
      <c r="B108" s="68"/>
      <c r="C108" s="69"/>
      <c r="D108" s="69"/>
      <c r="E108" s="69"/>
      <c r="F108" s="77" t="s">
        <v>233</v>
      </c>
      <c r="G108" s="75">
        <f>SUM(MONDAY!G108,TUESDAY!G108,WEDNESDAY!G108,THURSDAY!G108,FRIDAY!G108,SATURDAY!G108,SUNDAY!G108)</f>
        <v>0</v>
      </c>
      <c r="H108" s="70"/>
    </row>
    <row r="109" spans="2:8" ht="15" x14ac:dyDescent="0.3">
      <c r="B109" s="68"/>
      <c r="C109" s="69"/>
      <c r="D109" s="69"/>
      <c r="E109" s="69"/>
      <c r="F109" s="77" t="s">
        <v>292</v>
      </c>
      <c r="G109" s="75">
        <f>SUM(MONDAY!G109,TUESDAY!G109,WEDNESDAY!G109,THURSDAY!G109,FRIDAY!G109,SATURDAY!G109,SUNDAY!G109)</f>
        <v>0</v>
      </c>
      <c r="H109" s="70"/>
    </row>
    <row r="110" spans="2:8" ht="15" x14ac:dyDescent="0.3">
      <c r="B110" s="68"/>
      <c r="C110" s="69"/>
      <c r="D110" s="69"/>
      <c r="E110" s="69"/>
      <c r="F110" s="77" t="s">
        <v>234</v>
      </c>
      <c r="G110" s="75">
        <f>SUM(MONDAY!G110,TUESDAY!G110,WEDNESDAY!G110,THURSDAY!G110,FRIDAY!G110,SATURDAY!G110,SUNDAY!G110)</f>
        <v>0</v>
      </c>
      <c r="H110" s="70"/>
    </row>
    <row r="111" spans="2:8" ht="15" x14ac:dyDescent="0.3">
      <c r="B111" s="68"/>
      <c r="C111" s="69"/>
      <c r="D111" s="69"/>
      <c r="E111" s="69"/>
      <c r="F111" s="77" t="s">
        <v>235</v>
      </c>
      <c r="G111" s="75">
        <f>SUM(MONDAY!G111,TUESDAY!G111,WEDNESDAY!G111,THURSDAY!G111,FRIDAY!G111,SATURDAY!G111,SUNDAY!G111)</f>
        <v>0</v>
      </c>
      <c r="H111" s="70"/>
    </row>
    <row r="112" spans="2:8" ht="15" x14ac:dyDescent="0.3">
      <c r="B112" s="68"/>
      <c r="C112" s="69"/>
      <c r="D112" s="69"/>
      <c r="E112" s="69"/>
      <c r="F112" s="77" t="s">
        <v>236</v>
      </c>
      <c r="G112" s="75">
        <f>SUM(MONDAY!G112,TUESDAY!G112,WEDNESDAY!G112,THURSDAY!G112,FRIDAY!G112,SATURDAY!G112,SUNDAY!G112)</f>
        <v>0</v>
      </c>
      <c r="H112" s="70"/>
    </row>
    <row r="113" spans="2:8" ht="15" x14ac:dyDescent="0.3">
      <c r="B113" s="68"/>
      <c r="C113" s="69"/>
      <c r="D113" s="69"/>
      <c r="E113" s="69"/>
      <c r="F113" s="77" t="s">
        <v>237</v>
      </c>
      <c r="G113" s="75">
        <f>SUM(MONDAY!G113,TUESDAY!G113,WEDNESDAY!G113,THURSDAY!G113,FRIDAY!G113,SATURDAY!G113,SUNDAY!G113)</f>
        <v>6</v>
      </c>
      <c r="H113" s="70"/>
    </row>
    <row r="114" spans="2:8" ht="15" x14ac:dyDescent="0.3">
      <c r="B114" s="68"/>
      <c r="C114" s="69"/>
      <c r="D114" s="69"/>
      <c r="E114" s="69"/>
      <c r="F114" s="77" t="s">
        <v>238</v>
      </c>
      <c r="G114" s="75">
        <f>SUM(MONDAY!G114,TUESDAY!G114,WEDNESDAY!G114,THURSDAY!G114,FRIDAY!G114,SATURDAY!G114,SUNDAY!G114)</f>
        <v>0</v>
      </c>
      <c r="H114" s="70"/>
    </row>
    <row r="115" spans="2:8" ht="15" x14ac:dyDescent="0.3">
      <c r="B115" s="68"/>
      <c r="C115" s="69"/>
      <c r="D115" s="69"/>
      <c r="E115" s="69"/>
      <c r="F115" s="77" t="s">
        <v>239</v>
      </c>
      <c r="G115" s="75">
        <f>SUM(MONDAY!G115,TUESDAY!G115,WEDNESDAY!G115,THURSDAY!G115,FRIDAY!G115,SATURDAY!G115,SUNDAY!G115)</f>
        <v>0</v>
      </c>
      <c r="H115" s="70"/>
    </row>
    <row r="116" spans="2:8" ht="15" x14ac:dyDescent="0.3">
      <c r="B116" s="68"/>
      <c r="C116" s="69"/>
      <c r="D116" s="69"/>
      <c r="E116" s="69"/>
      <c r="F116" s="77" t="s">
        <v>321</v>
      </c>
      <c r="G116" s="75">
        <f>SUM(MONDAY!G116,TUESDAY!G116,WEDNESDAY!G116,THURSDAY!G116,FRIDAY!G116,SATURDAY!G116,SUNDAY!G116)</f>
        <v>0</v>
      </c>
      <c r="H116" s="70"/>
    </row>
    <row r="117" spans="2:8" ht="15" x14ac:dyDescent="0.3">
      <c r="B117" s="68"/>
      <c r="C117" s="69"/>
      <c r="D117" s="69"/>
      <c r="E117" s="69"/>
      <c r="F117" s="77" t="s">
        <v>240</v>
      </c>
      <c r="G117" s="75">
        <f>SUM(MONDAY!G117,TUESDAY!G117,WEDNESDAY!G117,THURSDAY!G117,FRIDAY!G117,SATURDAY!G117,SUNDAY!G117)</f>
        <v>0</v>
      </c>
      <c r="H117" s="70"/>
    </row>
    <row r="118" spans="2:8" ht="15" x14ac:dyDescent="0.3">
      <c r="B118" s="68"/>
      <c r="C118" s="69"/>
      <c r="D118" s="69"/>
      <c r="E118" s="69"/>
      <c r="F118" s="77" t="s">
        <v>305</v>
      </c>
      <c r="G118" s="75">
        <f>SUM(MONDAY!G118,TUESDAY!G118,WEDNESDAY!G118,THURSDAY!G118,FRIDAY!G118,SATURDAY!G118,SUNDAY!G118)</f>
        <v>0</v>
      </c>
      <c r="H118" s="70"/>
    </row>
    <row r="119" spans="2:8" ht="15" x14ac:dyDescent="0.3">
      <c r="B119" s="68"/>
      <c r="C119" s="69"/>
      <c r="D119" s="69"/>
      <c r="E119" s="69"/>
      <c r="F119" s="77" t="s">
        <v>244</v>
      </c>
      <c r="G119" s="75">
        <f>SUM(MONDAY!G119,TUESDAY!G119,WEDNESDAY!G119,THURSDAY!G119,FRIDAY!G119,SATURDAY!G119,SUNDAY!G119)</f>
        <v>0</v>
      </c>
      <c r="H119" s="70"/>
    </row>
    <row r="120" spans="2:8" ht="15" x14ac:dyDescent="0.3">
      <c r="B120" s="68"/>
      <c r="C120" s="69"/>
      <c r="D120" s="69"/>
      <c r="E120" s="69"/>
      <c r="F120" s="77" t="s">
        <v>241</v>
      </c>
      <c r="G120" s="75">
        <f>SUM(MONDAY!G120,TUESDAY!G120,WEDNESDAY!G120,THURSDAY!G120,FRIDAY!G120,SATURDAY!G120,SUNDAY!G120)</f>
        <v>0</v>
      </c>
      <c r="H120" s="70"/>
    </row>
    <row r="121" spans="2:8" ht="15" x14ac:dyDescent="0.3">
      <c r="B121" s="68"/>
      <c r="C121" s="69"/>
      <c r="D121" s="69"/>
      <c r="E121" s="69"/>
      <c r="F121" s="77" t="s">
        <v>317</v>
      </c>
      <c r="G121" s="75">
        <f>SUM(MONDAY!G121,TUESDAY!G121,WEDNESDAY!G121,THURSDAY!G121,FRIDAY!G121,SATURDAY!G121,SUNDAY!G121)</f>
        <v>0</v>
      </c>
      <c r="H121" s="70"/>
    </row>
    <row r="122" spans="2:8" ht="15" x14ac:dyDescent="0.3">
      <c r="B122" s="68"/>
      <c r="C122" s="69"/>
      <c r="D122" s="69"/>
      <c r="E122" s="69"/>
      <c r="F122" s="77" t="s">
        <v>242</v>
      </c>
      <c r="G122" s="75">
        <f>SUM(MONDAY!G122,TUESDAY!G122,WEDNESDAY!G122,THURSDAY!G122,FRIDAY!G122,SATURDAY!G122,SUNDAY!G122)</f>
        <v>0</v>
      </c>
      <c r="H122" s="70"/>
    </row>
    <row r="123" spans="2:8" ht="15" x14ac:dyDescent="0.3">
      <c r="B123" s="68"/>
      <c r="C123" s="69"/>
      <c r="D123" s="69"/>
      <c r="E123" s="69"/>
      <c r="F123" s="77" t="s">
        <v>322</v>
      </c>
      <c r="G123" s="75">
        <f>SUM(MONDAY!G123,TUESDAY!G123,WEDNESDAY!G123,THURSDAY!G123,FRIDAY!G123,SATURDAY!G123,SUNDAY!G123)</f>
        <v>0</v>
      </c>
      <c r="H123" s="70"/>
    </row>
    <row r="124" spans="2:8" ht="15" x14ac:dyDescent="0.3">
      <c r="B124" s="68"/>
      <c r="C124" s="69"/>
      <c r="D124" s="69"/>
      <c r="E124" s="69"/>
      <c r="F124" s="77" t="s">
        <v>311</v>
      </c>
      <c r="G124" s="75">
        <f>SUM(MONDAY!G124,TUESDAY!G124,WEDNESDAY!G124,THURSDAY!G124,FRIDAY!G124,SATURDAY!G124,SUNDAY!G124)</f>
        <v>0</v>
      </c>
      <c r="H124" s="70"/>
    </row>
    <row r="125" spans="2:8" ht="15" x14ac:dyDescent="0.3">
      <c r="B125" s="68"/>
      <c r="C125" s="69"/>
      <c r="D125" s="69"/>
      <c r="E125" s="69"/>
      <c r="F125" s="77" t="s">
        <v>243</v>
      </c>
      <c r="G125" s="75">
        <f>SUM(MONDAY!G125,TUESDAY!G125,WEDNESDAY!G125,THURSDAY!G125,FRIDAY!G125,SATURDAY!G125,SUNDAY!G125)</f>
        <v>0</v>
      </c>
      <c r="H125" s="70"/>
    </row>
    <row r="126" spans="2:8" ht="15" x14ac:dyDescent="0.3">
      <c r="B126" s="68"/>
      <c r="C126" s="69"/>
      <c r="D126" s="69"/>
      <c r="E126" s="69"/>
      <c r="F126" s="77" t="s">
        <v>312</v>
      </c>
      <c r="G126" s="75">
        <f>SUM(MONDAY!G126,TUESDAY!G126,WEDNESDAY!G126,THURSDAY!G126,FRIDAY!G126,SATURDAY!G126,SUNDAY!G126)</f>
        <v>0</v>
      </c>
      <c r="H126" s="70"/>
    </row>
    <row r="127" spans="2:8" ht="15" x14ac:dyDescent="0.3">
      <c r="B127" s="68"/>
      <c r="C127" s="69"/>
      <c r="D127" s="69"/>
      <c r="E127" s="69"/>
      <c r="F127" s="77" t="s">
        <v>313</v>
      </c>
      <c r="G127" s="75">
        <f>SUM(MONDAY!G127,TUESDAY!G127,WEDNESDAY!G127,THURSDAY!G127,FRIDAY!G127,SATURDAY!G127,SUNDAY!G127)</f>
        <v>0</v>
      </c>
      <c r="H127" s="70"/>
    </row>
    <row r="128" spans="2:8" ht="15" x14ac:dyDescent="0.3">
      <c r="B128" s="68"/>
      <c r="C128" s="69"/>
      <c r="D128" s="69"/>
      <c r="E128" s="69"/>
      <c r="F128" s="77" t="s">
        <v>288</v>
      </c>
      <c r="G128" s="75">
        <f>SUM(MONDAY!G128,TUESDAY!G128,WEDNESDAY!G128,THURSDAY!G128,FRIDAY!G128,SATURDAY!G128,SUNDAY!G128)</f>
        <v>0</v>
      </c>
      <c r="H128" s="70"/>
    </row>
    <row r="129" spans="2:8" ht="15" x14ac:dyDescent="0.3">
      <c r="B129" s="68"/>
      <c r="C129" s="69"/>
      <c r="D129" s="69"/>
      <c r="E129" s="69"/>
      <c r="F129" s="77" t="s">
        <v>245</v>
      </c>
      <c r="G129" s="75">
        <f>SUM(MONDAY!G129,TUESDAY!G129,WEDNESDAY!G129,THURSDAY!G129,FRIDAY!G129,SATURDAY!G129,SUNDAY!G129)</f>
        <v>0</v>
      </c>
      <c r="H129" s="70"/>
    </row>
    <row r="130" spans="2:8" ht="15" x14ac:dyDescent="0.3">
      <c r="B130" s="68"/>
      <c r="C130" s="69"/>
      <c r="D130" s="69"/>
      <c r="E130" s="69"/>
      <c r="F130" s="77" t="s">
        <v>246</v>
      </c>
      <c r="G130" s="75">
        <f>SUM(MONDAY!G130,TUESDAY!G130,WEDNESDAY!G130,THURSDAY!G130,FRIDAY!G130,SATURDAY!G130,SUNDAY!G130)</f>
        <v>0</v>
      </c>
      <c r="H130" s="70"/>
    </row>
    <row r="131" spans="2:8" ht="15" x14ac:dyDescent="0.3">
      <c r="B131" s="68"/>
      <c r="C131" s="69"/>
      <c r="D131" s="69"/>
      <c r="E131" s="69"/>
      <c r="F131" s="77" t="s">
        <v>247</v>
      </c>
      <c r="G131" s="75">
        <f>SUM(MONDAY!G131,TUESDAY!G131,WEDNESDAY!G131,THURSDAY!G131,FRIDAY!G131,SATURDAY!G131,SUNDAY!G131)</f>
        <v>0</v>
      </c>
      <c r="H131" s="70"/>
    </row>
    <row r="132" spans="2:8" ht="15" x14ac:dyDescent="0.3">
      <c r="B132" s="68"/>
      <c r="C132" s="69"/>
      <c r="D132" s="69"/>
      <c r="E132" s="69"/>
      <c r="F132" s="77" t="s">
        <v>248</v>
      </c>
      <c r="G132" s="75">
        <f>SUM(MONDAY!G132,TUESDAY!G132,WEDNESDAY!G132,THURSDAY!G132,FRIDAY!G132,SATURDAY!G132,SUNDAY!G132)</f>
        <v>0</v>
      </c>
      <c r="H132" s="70"/>
    </row>
    <row r="133" spans="2:8" s="64" customFormat="1" ht="15" x14ac:dyDescent="0.3">
      <c r="B133" s="68"/>
      <c r="C133" s="69"/>
      <c r="D133" s="69"/>
      <c r="E133" s="69"/>
      <c r="F133" s="77" t="s">
        <v>249</v>
      </c>
      <c r="G133" s="75">
        <f>SUM(MONDAY!G133,TUESDAY!G133,WEDNESDAY!G133,THURSDAY!G133,FRIDAY!G133,SATURDAY!G133,SUNDAY!G133)</f>
        <v>0</v>
      </c>
      <c r="H133" s="70"/>
    </row>
    <row r="134" spans="2:8" ht="15" x14ac:dyDescent="0.3">
      <c r="B134" s="68"/>
      <c r="C134" s="69"/>
      <c r="D134" s="69"/>
      <c r="E134" s="69"/>
      <c r="F134" s="77" t="s">
        <v>250</v>
      </c>
      <c r="G134" s="75">
        <f>SUM(MONDAY!G134,TUESDAY!G134,WEDNESDAY!G134,THURSDAY!G134,FRIDAY!G134,SATURDAY!G134,SUNDAY!G134)</f>
        <v>0</v>
      </c>
      <c r="H134" s="70"/>
    </row>
    <row r="135" spans="2:8" ht="15" x14ac:dyDescent="0.3">
      <c r="B135" s="68"/>
      <c r="C135" s="69"/>
      <c r="D135" s="69"/>
      <c r="E135" s="69"/>
      <c r="F135" s="77" t="s">
        <v>251</v>
      </c>
      <c r="G135" s="75">
        <f>SUM(MONDAY!G135,TUESDAY!G135,WEDNESDAY!G135,THURSDAY!G135,FRIDAY!G135,SATURDAY!G135,SUNDAY!G135)</f>
        <v>0</v>
      </c>
      <c r="H135" s="70"/>
    </row>
    <row r="136" spans="2:8" ht="15" x14ac:dyDescent="0.3">
      <c r="B136" s="68"/>
      <c r="C136" s="69"/>
      <c r="D136" s="69"/>
      <c r="E136" s="69"/>
      <c r="F136" s="80" t="s">
        <v>314</v>
      </c>
      <c r="G136" s="75">
        <f>SUM(MONDAY!G136,TUESDAY!G136,WEDNESDAY!G136,THURSDAY!G136,FRIDAY!G136,SATURDAY!G136,SUNDAY!G136)</f>
        <v>0</v>
      </c>
      <c r="H136" s="70"/>
    </row>
    <row r="137" spans="2:8" ht="15" x14ac:dyDescent="0.3">
      <c r="B137" s="68"/>
      <c r="F137" s="77" t="s">
        <v>252</v>
      </c>
      <c r="G137" s="75">
        <f>SUM(MONDAY!G137,TUESDAY!G137,WEDNESDAY!G137,THURSDAY!G137,FRIDAY!G137,SATURDAY!G137,SUNDAY!G137)</f>
        <v>0</v>
      </c>
      <c r="H137" s="70"/>
    </row>
    <row r="138" spans="2:8" ht="15" x14ac:dyDescent="0.3">
      <c r="B138" s="68"/>
      <c r="F138" s="77" t="s">
        <v>294</v>
      </c>
      <c r="G138" s="75">
        <f>SUM(MONDAY!G138,TUESDAY!G138,WEDNESDAY!G138,THURSDAY!G138,FRIDAY!G138,SATURDAY!G138,SUNDAY!G138)</f>
        <v>18.5</v>
      </c>
      <c r="H138" s="70"/>
    </row>
    <row r="139" spans="2:8" ht="15" x14ac:dyDescent="0.3">
      <c r="B139" s="68"/>
      <c r="F139" s="77" t="s">
        <v>315</v>
      </c>
      <c r="G139" s="75">
        <f>SUM(MONDAY!G139,TUESDAY!G139,WEDNESDAY!G139,THURSDAY!G139,FRIDAY!G139,SATURDAY!G139,SUNDAY!G139)</f>
        <v>0</v>
      </c>
      <c r="H139" s="70"/>
    </row>
    <row r="140" spans="2:8" ht="15" x14ac:dyDescent="0.3">
      <c r="B140" s="68"/>
      <c r="F140" s="77" t="s">
        <v>319</v>
      </c>
      <c r="G140" s="75">
        <f>SUM(MONDAY!G140,TUESDAY!G140,WEDNESDAY!G140,THURSDAY!G140,FRIDAY!G140,SATURDAY!G140,SUNDAY!G140)</f>
        <v>0</v>
      </c>
      <c r="H140" s="70"/>
    </row>
    <row r="141" spans="2:8" ht="15" x14ac:dyDescent="0.3">
      <c r="B141" s="68"/>
      <c r="F141" s="77" t="s">
        <v>282</v>
      </c>
      <c r="G141" s="75">
        <f>SUM(MONDAY!G141,TUESDAY!G141,WEDNESDAY!G141,THURSDAY!G141,FRIDAY!G141,SATURDAY!G141,SUNDAY!G141)</f>
        <v>0</v>
      </c>
      <c r="H141" s="70"/>
    </row>
    <row r="142" spans="2:8" ht="15" x14ac:dyDescent="0.3">
      <c r="B142" s="71"/>
      <c r="C142" s="72"/>
      <c r="D142" s="72"/>
      <c r="E142" s="72"/>
      <c r="F142" s="81" t="s">
        <v>283</v>
      </c>
      <c r="G142" s="76">
        <f>SUM(MONDAY!G142,TUESDAY!G142,WEDNESDAY!G142,THURSDAY!G142,FRIDAY!G142,SATURDAY!G142,SUNDAY!G142)</f>
        <v>0</v>
      </c>
      <c r="H142" s="73"/>
    </row>
  </sheetData>
  <mergeCells count="1">
    <mergeCell ref="D4:G4"/>
  </mergeCells>
  <dataValidations disablePrompts="1" count="3">
    <dataValidation type="list" allowBlank="1" showInputMessage="1" showErrorMessage="1" prompt="select CSA" sqref="D4">
      <formula1>Names</formula1>
    </dataValidation>
    <dataValidation type="date" operator="greaterThan" allowBlank="1" showInputMessage="1" showErrorMessage="1" prompt="enter date" sqref="D6 G6 J6 M6 P6 S6 V6">
      <formula1>42005</formula1>
    </dataValidation>
    <dataValidation type="list" allowBlank="1" showInputMessage="1" showErrorMessage="1" sqref="D5">
      <formula1>Names</formula1>
    </dataValidation>
  </dataValidations>
  <pageMargins left="0.7" right="0.7" top="0.75" bottom="0.75" header="0.3" footer="0.3"/>
  <pageSetup orientation="portrait" horizontalDpi="4294967293" verticalDpi="4294967293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size="43" baseType="lpstr">
      <vt:lpstr>formdata</vt:lpstr>
      <vt:lpstr>MONDAY</vt:lpstr>
      <vt:lpstr>TUESDAY</vt:lpstr>
      <vt:lpstr>WEDNESDAY</vt:lpstr>
      <vt:lpstr>THURSDAY</vt:lpstr>
      <vt:lpstr>FRIDAY</vt:lpstr>
      <vt:lpstr>SATURDAY</vt:lpstr>
      <vt:lpstr>SUNDAY</vt:lpstr>
      <vt:lpstr>WEEK SUMMARY</vt:lpstr>
      <vt:lpstr>ALL_Customers</vt:lpstr>
      <vt:lpstr>ALL_Interactions</vt:lpstr>
      <vt:lpstr>Architecture</vt:lpstr>
      <vt:lpstr>Blanks</vt:lpstr>
      <vt:lpstr>Client</vt:lpstr>
      <vt:lpstr>Conference</vt:lpstr>
      <vt:lpstr>Customer</vt:lpstr>
      <vt:lpstr>DOW</vt:lpstr>
      <vt:lpstr>Enablement</vt:lpstr>
      <vt:lpstr>Engagement</vt:lpstr>
      <vt:lpstr>Environment</vt:lpstr>
      <vt:lpstr>Housekeeping</vt:lpstr>
      <vt:lpstr>Interaction</vt:lpstr>
      <vt:lpstr>Internal</vt:lpstr>
      <vt:lpstr>Meetings</vt:lpstr>
      <vt:lpstr>Names</vt:lpstr>
      <vt:lpstr>Office</vt:lpstr>
      <vt:lpstr>OfficeLocations</vt:lpstr>
      <vt:lpstr>ORTS</vt:lpstr>
      <vt:lpstr>Other</vt:lpstr>
      <vt:lpstr>Partner</vt:lpstr>
      <vt:lpstr>Primary</vt:lpstr>
      <vt:lpstr>Product</vt:lpstr>
      <vt:lpstr>Publications</vt:lpstr>
      <vt:lpstr>Support</vt:lpstr>
      <vt:lpstr>Talend</vt:lpstr>
      <vt:lpstr>Tier1</vt:lpstr>
      <vt:lpstr>Tier2</vt:lpstr>
      <vt:lpstr>Tier3</vt:lpstr>
      <vt:lpstr>Training</vt:lpstr>
      <vt:lpstr>Travel</vt:lpstr>
      <vt:lpstr>Utilizations</vt:lpstr>
      <vt:lpstr>Vendor</vt:lpstr>
      <vt:lpstr>WhiteGlove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 T. Anderson</dc:creator>
  <cp:lastModifiedBy>Dale T. Anderson</cp:lastModifiedBy>
  <dcterms:created xsi:type="dcterms:W3CDTF">2015-05-18T22:32:40Z</dcterms:created>
  <dcterms:modified xsi:type="dcterms:W3CDTF">2015-11-03T15:05:01Z</dcterms:modified>
</cp:coreProperties>
</file>